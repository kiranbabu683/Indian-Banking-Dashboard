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00C06385-1A31-4812-8261-E9B361560D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Insights" sheetId="2" r:id="rId2"/>
    <sheet name="Analysis" sheetId="3" r:id="rId3"/>
    <sheet name="Data" sheetId="4" r:id="rId4"/>
    <sheet name="Fraud Cases" sheetId="5" r:id="rId5"/>
    <sheet name="Cleaning Log" sheetId="6" r:id="rId6"/>
    <sheet name="Data Understanding" sheetId="7" r:id="rId7"/>
  </sheets>
  <definedNames>
    <definedName name="_xlnm._FilterDatabase" localSheetId="3" hidden="1">Data!$A$1:$U$501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6" l="1"/>
  <c r="D14" i="6" s="1"/>
  <c r="B13" i="6"/>
  <c r="D13" i="6" s="1"/>
  <c r="B12" i="6"/>
  <c r="D12" i="6" s="1"/>
  <c r="B11" i="6"/>
  <c r="D11" i="6" s="1"/>
  <c r="B10" i="6"/>
  <c r="D10" i="6" s="1"/>
  <c r="B9" i="6"/>
  <c r="D9" i="6" s="1"/>
  <c r="B8" i="6"/>
  <c r="D8" i="6" s="1"/>
  <c r="B7" i="6"/>
  <c r="D7" i="6" s="1"/>
  <c r="B6" i="6"/>
  <c r="D6" i="6" s="1"/>
  <c r="B5" i="6"/>
  <c r="I18" i="5"/>
  <c r="B18" i="5"/>
  <c r="U501" i="4"/>
  <c r="T501" i="4"/>
  <c r="S501" i="4"/>
  <c r="R501" i="4"/>
  <c r="Q501" i="4"/>
  <c r="P501" i="4"/>
  <c r="U500" i="4"/>
  <c r="T500" i="4"/>
  <c r="S500" i="4"/>
  <c r="R500" i="4"/>
  <c r="Q500" i="4"/>
  <c r="P500" i="4"/>
  <c r="U499" i="4"/>
  <c r="T499" i="4"/>
  <c r="S499" i="4"/>
  <c r="R499" i="4"/>
  <c r="Q499" i="4"/>
  <c r="P499" i="4"/>
  <c r="U498" i="4"/>
  <c r="T498" i="4"/>
  <c r="S498" i="4"/>
  <c r="R498" i="4"/>
  <c r="Q498" i="4"/>
  <c r="P498" i="4"/>
  <c r="U497" i="4"/>
  <c r="T497" i="4"/>
  <c r="S497" i="4"/>
  <c r="R497" i="4"/>
  <c r="Q497" i="4"/>
  <c r="P497" i="4"/>
  <c r="U496" i="4"/>
  <c r="T496" i="4"/>
  <c r="S496" i="4"/>
  <c r="R496" i="4"/>
  <c r="Q496" i="4"/>
  <c r="P496" i="4"/>
  <c r="U495" i="4"/>
  <c r="T495" i="4"/>
  <c r="S495" i="4"/>
  <c r="R495" i="4"/>
  <c r="Q495" i="4"/>
  <c r="P495" i="4"/>
  <c r="U494" i="4"/>
  <c r="T494" i="4"/>
  <c r="S494" i="4"/>
  <c r="R494" i="4"/>
  <c r="Q494" i="4"/>
  <c r="P494" i="4"/>
  <c r="U493" i="4"/>
  <c r="T493" i="4"/>
  <c r="S493" i="4"/>
  <c r="R493" i="4"/>
  <c r="Q493" i="4"/>
  <c r="P493" i="4"/>
  <c r="U492" i="4"/>
  <c r="T492" i="4"/>
  <c r="S492" i="4"/>
  <c r="R492" i="4"/>
  <c r="Q492" i="4"/>
  <c r="P492" i="4"/>
  <c r="U491" i="4"/>
  <c r="T491" i="4"/>
  <c r="S491" i="4"/>
  <c r="R491" i="4"/>
  <c r="Q491" i="4"/>
  <c r="P491" i="4"/>
  <c r="U490" i="4"/>
  <c r="T490" i="4"/>
  <c r="S490" i="4"/>
  <c r="R490" i="4"/>
  <c r="Q490" i="4"/>
  <c r="P490" i="4"/>
  <c r="U489" i="4"/>
  <c r="T489" i="4"/>
  <c r="S489" i="4"/>
  <c r="R489" i="4"/>
  <c r="Q489" i="4"/>
  <c r="P489" i="4"/>
  <c r="U488" i="4"/>
  <c r="T488" i="4"/>
  <c r="S488" i="4"/>
  <c r="R488" i="4"/>
  <c r="Q488" i="4"/>
  <c r="P488" i="4"/>
  <c r="U487" i="4"/>
  <c r="T487" i="4"/>
  <c r="S487" i="4"/>
  <c r="R487" i="4"/>
  <c r="Q487" i="4"/>
  <c r="P487" i="4"/>
  <c r="U486" i="4"/>
  <c r="T486" i="4"/>
  <c r="S486" i="4"/>
  <c r="R486" i="4"/>
  <c r="Q486" i="4"/>
  <c r="P486" i="4"/>
  <c r="U485" i="4"/>
  <c r="T485" i="4"/>
  <c r="S485" i="4"/>
  <c r="R485" i="4"/>
  <c r="Q485" i="4"/>
  <c r="P485" i="4"/>
  <c r="U484" i="4"/>
  <c r="T484" i="4"/>
  <c r="S484" i="4"/>
  <c r="R484" i="4"/>
  <c r="Q484" i="4"/>
  <c r="P484" i="4"/>
  <c r="U483" i="4"/>
  <c r="T483" i="4"/>
  <c r="S483" i="4"/>
  <c r="R483" i="4"/>
  <c r="Q483" i="4"/>
  <c r="P483" i="4"/>
  <c r="U482" i="4"/>
  <c r="T482" i="4"/>
  <c r="S482" i="4"/>
  <c r="R482" i="4"/>
  <c r="Q482" i="4"/>
  <c r="P482" i="4"/>
  <c r="U481" i="4"/>
  <c r="T481" i="4"/>
  <c r="S481" i="4"/>
  <c r="R481" i="4"/>
  <c r="Q481" i="4"/>
  <c r="P481" i="4"/>
  <c r="U480" i="4"/>
  <c r="T480" i="4"/>
  <c r="S480" i="4"/>
  <c r="R480" i="4"/>
  <c r="Q480" i="4"/>
  <c r="P480" i="4"/>
  <c r="U479" i="4"/>
  <c r="T479" i="4"/>
  <c r="S479" i="4"/>
  <c r="R479" i="4"/>
  <c r="Q479" i="4"/>
  <c r="P479" i="4"/>
  <c r="U478" i="4"/>
  <c r="T478" i="4"/>
  <c r="S478" i="4"/>
  <c r="R478" i="4"/>
  <c r="Q478" i="4"/>
  <c r="P478" i="4"/>
  <c r="U477" i="4"/>
  <c r="T477" i="4"/>
  <c r="S477" i="4"/>
  <c r="R477" i="4"/>
  <c r="Q477" i="4"/>
  <c r="P477" i="4"/>
  <c r="U476" i="4"/>
  <c r="T476" i="4"/>
  <c r="S476" i="4"/>
  <c r="R476" i="4"/>
  <c r="Q476" i="4"/>
  <c r="P476" i="4"/>
  <c r="U475" i="4"/>
  <c r="T475" i="4"/>
  <c r="S475" i="4"/>
  <c r="R475" i="4"/>
  <c r="Q475" i="4"/>
  <c r="P475" i="4"/>
  <c r="U474" i="4"/>
  <c r="T474" i="4"/>
  <c r="S474" i="4"/>
  <c r="R474" i="4"/>
  <c r="Q474" i="4"/>
  <c r="P474" i="4"/>
  <c r="U473" i="4"/>
  <c r="T473" i="4"/>
  <c r="S473" i="4"/>
  <c r="R473" i="4"/>
  <c r="Q473" i="4"/>
  <c r="P473" i="4"/>
  <c r="U472" i="4"/>
  <c r="T472" i="4"/>
  <c r="S472" i="4"/>
  <c r="R472" i="4"/>
  <c r="Q472" i="4"/>
  <c r="P472" i="4"/>
  <c r="U471" i="4"/>
  <c r="T471" i="4"/>
  <c r="S471" i="4"/>
  <c r="R471" i="4"/>
  <c r="Q471" i="4"/>
  <c r="P471" i="4"/>
  <c r="U470" i="4"/>
  <c r="T470" i="4"/>
  <c r="S470" i="4"/>
  <c r="R470" i="4"/>
  <c r="Q470" i="4"/>
  <c r="P470" i="4"/>
  <c r="U469" i="4"/>
  <c r="T469" i="4"/>
  <c r="S469" i="4"/>
  <c r="R469" i="4"/>
  <c r="Q469" i="4"/>
  <c r="P469" i="4"/>
  <c r="U468" i="4"/>
  <c r="T468" i="4"/>
  <c r="S468" i="4"/>
  <c r="R468" i="4"/>
  <c r="Q468" i="4"/>
  <c r="P468" i="4"/>
  <c r="U467" i="4"/>
  <c r="T467" i="4"/>
  <c r="S467" i="4"/>
  <c r="R467" i="4"/>
  <c r="Q467" i="4"/>
  <c r="P467" i="4"/>
  <c r="U466" i="4"/>
  <c r="T466" i="4"/>
  <c r="S466" i="4"/>
  <c r="R466" i="4"/>
  <c r="Q466" i="4"/>
  <c r="P466" i="4"/>
  <c r="U465" i="4"/>
  <c r="T465" i="4"/>
  <c r="S465" i="4"/>
  <c r="R465" i="4"/>
  <c r="Q465" i="4"/>
  <c r="P465" i="4"/>
  <c r="U464" i="4"/>
  <c r="T464" i="4"/>
  <c r="S464" i="4"/>
  <c r="R464" i="4"/>
  <c r="Q464" i="4"/>
  <c r="P464" i="4"/>
  <c r="U463" i="4"/>
  <c r="T463" i="4"/>
  <c r="S463" i="4"/>
  <c r="R463" i="4"/>
  <c r="Q463" i="4"/>
  <c r="P463" i="4"/>
  <c r="U462" i="4"/>
  <c r="T462" i="4"/>
  <c r="S462" i="4"/>
  <c r="R462" i="4"/>
  <c r="Q462" i="4"/>
  <c r="P462" i="4"/>
  <c r="U461" i="4"/>
  <c r="T461" i="4"/>
  <c r="S461" i="4"/>
  <c r="R461" i="4"/>
  <c r="Q461" i="4"/>
  <c r="P461" i="4"/>
  <c r="U460" i="4"/>
  <c r="T460" i="4"/>
  <c r="S460" i="4"/>
  <c r="R460" i="4"/>
  <c r="Q460" i="4"/>
  <c r="P460" i="4"/>
  <c r="U459" i="4"/>
  <c r="T459" i="4"/>
  <c r="S459" i="4"/>
  <c r="R459" i="4"/>
  <c r="Q459" i="4"/>
  <c r="P459" i="4"/>
  <c r="U458" i="4"/>
  <c r="T458" i="4"/>
  <c r="S458" i="4"/>
  <c r="R458" i="4"/>
  <c r="Q458" i="4"/>
  <c r="P458" i="4"/>
  <c r="U457" i="4"/>
  <c r="T457" i="4"/>
  <c r="S457" i="4"/>
  <c r="R457" i="4"/>
  <c r="Q457" i="4"/>
  <c r="P457" i="4"/>
  <c r="U456" i="4"/>
  <c r="T456" i="4"/>
  <c r="S456" i="4"/>
  <c r="R456" i="4"/>
  <c r="Q456" i="4"/>
  <c r="P456" i="4"/>
  <c r="U455" i="4"/>
  <c r="T455" i="4"/>
  <c r="S455" i="4"/>
  <c r="R455" i="4"/>
  <c r="Q455" i="4"/>
  <c r="P455" i="4"/>
  <c r="U454" i="4"/>
  <c r="T454" i="4"/>
  <c r="S454" i="4"/>
  <c r="R454" i="4"/>
  <c r="Q454" i="4"/>
  <c r="P454" i="4"/>
  <c r="U453" i="4"/>
  <c r="T453" i="4"/>
  <c r="S453" i="4"/>
  <c r="R453" i="4"/>
  <c r="Q453" i="4"/>
  <c r="P453" i="4"/>
  <c r="U452" i="4"/>
  <c r="T452" i="4"/>
  <c r="S452" i="4"/>
  <c r="R452" i="4"/>
  <c r="Q452" i="4"/>
  <c r="P452" i="4"/>
  <c r="U451" i="4"/>
  <c r="T451" i="4"/>
  <c r="S451" i="4"/>
  <c r="R451" i="4"/>
  <c r="Q451" i="4"/>
  <c r="P451" i="4"/>
  <c r="U450" i="4"/>
  <c r="T450" i="4"/>
  <c r="S450" i="4"/>
  <c r="R450" i="4"/>
  <c r="Q450" i="4"/>
  <c r="P450" i="4"/>
  <c r="U449" i="4"/>
  <c r="T449" i="4"/>
  <c r="S449" i="4"/>
  <c r="R449" i="4"/>
  <c r="Q449" i="4"/>
  <c r="P449" i="4"/>
  <c r="U448" i="4"/>
  <c r="T448" i="4"/>
  <c r="S448" i="4"/>
  <c r="R448" i="4"/>
  <c r="Q448" i="4"/>
  <c r="P448" i="4"/>
  <c r="U447" i="4"/>
  <c r="T447" i="4"/>
  <c r="S447" i="4"/>
  <c r="R447" i="4"/>
  <c r="Q447" i="4"/>
  <c r="P447" i="4"/>
  <c r="U446" i="4"/>
  <c r="T446" i="4"/>
  <c r="S446" i="4"/>
  <c r="R446" i="4"/>
  <c r="Q446" i="4"/>
  <c r="P446" i="4"/>
  <c r="U445" i="4"/>
  <c r="T445" i="4"/>
  <c r="S445" i="4"/>
  <c r="R445" i="4"/>
  <c r="Q445" i="4"/>
  <c r="P445" i="4"/>
  <c r="U444" i="4"/>
  <c r="T444" i="4"/>
  <c r="S444" i="4"/>
  <c r="R444" i="4"/>
  <c r="Q444" i="4"/>
  <c r="P444" i="4"/>
  <c r="U443" i="4"/>
  <c r="T443" i="4"/>
  <c r="S443" i="4"/>
  <c r="R443" i="4"/>
  <c r="Q443" i="4"/>
  <c r="P443" i="4"/>
  <c r="U442" i="4"/>
  <c r="T442" i="4"/>
  <c r="S442" i="4"/>
  <c r="R442" i="4"/>
  <c r="Q442" i="4"/>
  <c r="P442" i="4"/>
  <c r="U441" i="4"/>
  <c r="T441" i="4"/>
  <c r="S441" i="4"/>
  <c r="R441" i="4"/>
  <c r="Q441" i="4"/>
  <c r="P441" i="4"/>
  <c r="U440" i="4"/>
  <c r="T440" i="4"/>
  <c r="S440" i="4"/>
  <c r="R440" i="4"/>
  <c r="Q440" i="4"/>
  <c r="P440" i="4"/>
  <c r="U439" i="4"/>
  <c r="T439" i="4"/>
  <c r="S439" i="4"/>
  <c r="R439" i="4"/>
  <c r="Q439" i="4"/>
  <c r="P439" i="4"/>
  <c r="U438" i="4"/>
  <c r="T438" i="4"/>
  <c r="S438" i="4"/>
  <c r="R438" i="4"/>
  <c r="Q438" i="4"/>
  <c r="P438" i="4"/>
  <c r="U437" i="4"/>
  <c r="T437" i="4"/>
  <c r="S437" i="4"/>
  <c r="R437" i="4"/>
  <c r="Q437" i="4"/>
  <c r="P437" i="4"/>
  <c r="U436" i="4"/>
  <c r="T436" i="4"/>
  <c r="S436" i="4"/>
  <c r="R436" i="4"/>
  <c r="Q436" i="4"/>
  <c r="P436" i="4"/>
  <c r="U435" i="4"/>
  <c r="T435" i="4"/>
  <c r="S435" i="4"/>
  <c r="R435" i="4"/>
  <c r="Q435" i="4"/>
  <c r="P435" i="4"/>
  <c r="U434" i="4"/>
  <c r="T434" i="4"/>
  <c r="S434" i="4"/>
  <c r="R434" i="4"/>
  <c r="Q434" i="4"/>
  <c r="P434" i="4"/>
  <c r="U433" i="4"/>
  <c r="T433" i="4"/>
  <c r="S433" i="4"/>
  <c r="R433" i="4"/>
  <c r="Q433" i="4"/>
  <c r="P433" i="4"/>
  <c r="U432" i="4"/>
  <c r="T432" i="4"/>
  <c r="S432" i="4"/>
  <c r="R432" i="4"/>
  <c r="Q432" i="4"/>
  <c r="P432" i="4"/>
  <c r="U431" i="4"/>
  <c r="T431" i="4"/>
  <c r="S431" i="4"/>
  <c r="R431" i="4"/>
  <c r="Q431" i="4"/>
  <c r="P431" i="4"/>
  <c r="U430" i="4"/>
  <c r="T430" i="4"/>
  <c r="S430" i="4"/>
  <c r="R430" i="4"/>
  <c r="Q430" i="4"/>
  <c r="P430" i="4"/>
  <c r="U429" i="4"/>
  <c r="T429" i="4"/>
  <c r="S429" i="4"/>
  <c r="R429" i="4"/>
  <c r="Q429" i="4"/>
  <c r="P429" i="4"/>
  <c r="U428" i="4"/>
  <c r="T428" i="4"/>
  <c r="S428" i="4"/>
  <c r="R428" i="4"/>
  <c r="Q428" i="4"/>
  <c r="P428" i="4"/>
  <c r="U427" i="4"/>
  <c r="T427" i="4"/>
  <c r="S427" i="4"/>
  <c r="R427" i="4"/>
  <c r="Q427" i="4"/>
  <c r="P427" i="4"/>
  <c r="U426" i="4"/>
  <c r="T426" i="4"/>
  <c r="S426" i="4"/>
  <c r="R426" i="4"/>
  <c r="Q426" i="4"/>
  <c r="P426" i="4"/>
  <c r="U425" i="4"/>
  <c r="T425" i="4"/>
  <c r="S425" i="4"/>
  <c r="R425" i="4"/>
  <c r="Q425" i="4"/>
  <c r="P425" i="4"/>
  <c r="U424" i="4"/>
  <c r="T424" i="4"/>
  <c r="S424" i="4"/>
  <c r="R424" i="4"/>
  <c r="Q424" i="4"/>
  <c r="P424" i="4"/>
  <c r="U423" i="4"/>
  <c r="T423" i="4"/>
  <c r="S423" i="4"/>
  <c r="R423" i="4"/>
  <c r="Q423" i="4"/>
  <c r="P423" i="4"/>
  <c r="U422" i="4"/>
  <c r="T422" i="4"/>
  <c r="S422" i="4"/>
  <c r="R422" i="4"/>
  <c r="Q422" i="4"/>
  <c r="P422" i="4"/>
  <c r="U421" i="4"/>
  <c r="T421" i="4"/>
  <c r="S421" i="4"/>
  <c r="R421" i="4"/>
  <c r="Q421" i="4"/>
  <c r="P421" i="4"/>
  <c r="U420" i="4"/>
  <c r="T420" i="4"/>
  <c r="S420" i="4"/>
  <c r="R420" i="4"/>
  <c r="Q420" i="4"/>
  <c r="P420" i="4"/>
  <c r="U419" i="4"/>
  <c r="T419" i="4"/>
  <c r="S419" i="4"/>
  <c r="R419" i="4"/>
  <c r="Q419" i="4"/>
  <c r="P419" i="4"/>
  <c r="U418" i="4"/>
  <c r="T418" i="4"/>
  <c r="S418" i="4"/>
  <c r="R418" i="4"/>
  <c r="Q418" i="4"/>
  <c r="P418" i="4"/>
  <c r="U417" i="4"/>
  <c r="T417" i="4"/>
  <c r="S417" i="4"/>
  <c r="R417" i="4"/>
  <c r="Q417" i="4"/>
  <c r="P417" i="4"/>
  <c r="U416" i="4"/>
  <c r="T416" i="4"/>
  <c r="S416" i="4"/>
  <c r="R416" i="4"/>
  <c r="Q416" i="4"/>
  <c r="P416" i="4"/>
  <c r="U415" i="4"/>
  <c r="T415" i="4"/>
  <c r="S415" i="4"/>
  <c r="R415" i="4"/>
  <c r="Q415" i="4"/>
  <c r="P415" i="4"/>
  <c r="U414" i="4"/>
  <c r="T414" i="4"/>
  <c r="S414" i="4"/>
  <c r="R414" i="4"/>
  <c r="Q414" i="4"/>
  <c r="P414" i="4"/>
  <c r="U413" i="4"/>
  <c r="T413" i="4"/>
  <c r="S413" i="4"/>
  <c r="R413" i="4"/>
  <c r="Q413" i="4"/>
  <c r="P413" i="4"/>
  <c r="U412" i="4"/>
  <c r="T412" i="4"/>
  <c r="S412" i="4"/>
  <c r="R412" i="4"/>
  <c r="Q412" i="4"/>
  <c r="P412" i="4"/>
  <c r="U411" i="4"/>
  <c r="T411" i="4"/>
  <c r="S411" i="4"/>
  <c r="R411" i="4"/>
  <c r="Q411" i="4"/>
  <c r="P411" i="4"/>
  <c r="U410" i="4"/>
  <c r="T410" i="4"/>
  <c r="S410" i="4"/>
  <c r="R410" i="4"/>
  <c r="Q410" i="4"/>
  <c r="P410" i="4"/>
  <c r="U409" i="4"/>
  <c r="T409" i="4"/>
  <c r="S409" i="4"/>
  <c r="R409" i="4"/>
  <c r="Q409" i="4"/>
  <c r="P409" i="4"/>
  <c r="U408" i="4"/>
  <c r="T408" i="4"/>
  <c r="S408" i="4"/>
  <c r="R408" i="4"/>
  <c r="Q408" i="4"/>
  <c r="P408" i="4"/>
  <c r="U407" i="4"/>
  <c r="T407" i="4"/>
  <c r="S407" i="4"/>
  <c r="R407" i="4"/>
  <c r="Q407" i="4"/>
  <c r="P407" i="4"/>
  <c r="U406" i="4"/>
  <c r="T406" i="4"/>
  <c r="S406" i="4"/>
  <c r="R406" i="4"/>
  <c r="Q406" i="4"/>
  <c r="P406" i="4"/>
  <c r="U405" i="4"/>
  <c r="T405" i="4"/>
  <c r="S405" i="4"/>
  <c r="R405" i="4"/>
  <c r="Q405" i="4"/>
  <c r="P405" i="4"/>
  <c r="U404" i="4"/>
  <c r="T404" i="4"/>
  <c r="S404" i="4"/>
  <c r="R404" i="4"/>
  <c r="Q404" i="4"/>
  <c r="P404" i="4"/>
  <c r="U403" i="4"/>
  <c r="T403" i="4"/>
  <c r="S403" i="4"/>
  <c r="R403" i="4"/>
  <c r="Q403" i="4"/>
  <c r="P403" i="4"/>
  <c r="U402" i="4"/>
  <c r="T402" i="4"/>
  <c r="S402" i="4"/>
  <c r="R402" i="4"/>
  <c r="Q402" i="4"/>
  <c r="P402" i="4"/>
  <c r="U401" i="4"/>
  <c r="T401" i="4"/>
  <c r="S401" i="4"/>
  <c r="R401" i="4"/>
  <c r="Q401" i="4"/>
  <c r="P401" i="4"/>
  <c r="U400" i="4"/>
  <c r="T400" i="4"/>
  <c r="S400" i="4"/>
  <c r="R400" i="4"/>
  <c r="Q400" i="4"/>
  <c r="P400" i="4"/>
  <c r="U399" i="4"/>
  <c r="T399" i="4"/>
  <c r="S399" i="4"/>
  <c r="R399" i="4"/>
  <c r="Q399" i="4"/>
  <c r="P399" i="4"/>
  <c r="U398" i="4"/>
  <c r="T398" i="4"/>
  <c r="S398" i="4"/>
  <c r="R398" i="4"/>
  <c r="Q398" i="4"/>
  <c r="P398" i="4"/>
  <c r="U397" i="4"/>
  <c r="T397" i="4"/>
  <c r="S397" i="4"/>
  <c r="R397" i="4"/>
  <c r="Q397" i="4"/>
  <c r="P397" i="4"/>
  <c r="U396" i="4"/>
  <c r="T396" i="4"/>
  <c r="S396" i="4"/>
  <c r="R396" i="4"/>
  <c r="Q396" i="4"/>
  <c r="P396" i="4"/>
  <c r="U395" i="4"/>
  <c r="T395" i="4"/>
  <c r="S395" i="4"/>
  <c r="R395" i="4"/>
  <c r="Q395" i="4"/>
  <c r="P395" i="4"/>
  <c r="U394" i="4"/>
  <c r="T394" i="4"/>
  <c r="S394" i="4"/>
  <c r="R394" i="4"/>
  <c r="Q394" i="4"/>
  <c r="P394" i="4"/>
  <c r="U393" i="4"/>
  <c r="T393" i="4"/>
  <c r="S393" i="4"/>
  <c r="R393" i="4"/>
  <c r="Q393" i="4"/>
  <c r="P393" i="4"/>
  <c r="U392" i="4"/>
  <c r="T392" i="4"/>
  <c r="S392" i="4"/>
  <c r="R392" i="4"/>
  <c r="Q392" i="4"/>
  <c r="P392" i="4"/>
  <c r="U391" i="4"/>
  <c r="T391" i="4"/>
  <c r="S391" i="4"/>
  <c r="R391" i="4"/>
  <c r="Q391" i="4"/>
  <c r="P391" i="4"/>
  <c r="U390" i="4"/>
  <c r="T390" i="4"/>
  <c r="S390" i="4"/>
  <c r="R390" i="4"/>
  <c r="Q390" i="4"/>
  <c r="P390" i="4"/>
  <c r="U389" i="4"/>
  <c r="T389" i="4"/>
  <c r="S389" i="4"/>
  <c r="R389" i="4"/>
  <c r="Q389" i="4"/>
  <c r="P389" i="4"/>
  <c r="U388" i="4"/>
  <c r="T388" i="4"/>
  <c r="S388" i="4"/>
  <c r="R388" i="4"/>
  <c r="Q388" i="4"/>
  <c r="P388" i="4"/>
  <c r="U387" i="4"/>
  <c r="T387" i="4"/>
  <c r="S387" i="4"/>
  <c r="R387" i="4"/>
  <c r="Q387" i="4"/>
  <c r="P387" i="4"/>
  <c r="U386" i="4"/>
  <c r="T386" i="4"/>
  <c r="S386" i="4"/>
  <c r="R386" i="4"/>
  <c r="Q386" i="4"/>
  <c r="P386" i="4"/>
  <c r="U385" i="4"/>
  <c r="T385" i="4"/>
  <c r="S385" i="4"/>
  <c r="R385" i="4"/>
  <c r="Q385" i="4"/>
  <c r="P385" i="4"/>
  <c r="U384" i="4"/>
  <c r="T384" i="4"/>
  <c r="S384" i="4"/>
  <c r="R384" i="4"/>
  <c r="Q384" i="4"/>
  <c r="P384" i="4"/>
  <c r="U383" i="4"/>
  <c r="T383" i="4"/>
  <c r="S383" i="4"/>
  <c r="R383" i="4"/>
  <c r="Q383" i="4"/>
  <c r="P383" i="4"/>
  <c r="U382" i="4"/>
  <c r="T382" i="4"/>
  <c r="S382" i="4"/>
  <c r="R382" i="4"/>
  <c r="Q382" i="4"/>
  <c r="P382" i="4"/>
  <c r="U381" i="4"/>
  <c r="T381" i="4"/>
  <c r="S381" i="4"/>
  <c r="R381" i="4"/>
  <c r="Q381" i="4"/>
  <c r="P381" i="4"/>
  <c r="U380" i="4"/>
  <c r="T380" i="4"/>
  <c r="S380" i="4"/>
  <c r="R380" i="4"/>
  <c r="Q380" i="4"/>
  <c r="P380" i="4"/>
  <c r="U379" i="4"/>
  <c r="T379" i="4"/>
  <c r="S379" i="4"/>
  <c r="R379" i="4"/>
  <c r="Q379" i="4"/>
  <c r="P379" i="4"/>
  <c r="U378" i="4"/>
  <c r="T378" i="4"/>
  <c r="S378" i="4"/>
  <c r="R378" i="4"/>
  <c r="Q378" i="4"/>
  <c r="P378" i="4"/>
  <c r="U377" i="4"/>
  <c r="T377" i="4"/>
  <c r="S377" i="4"/>
  <c r="R377" i="4"/>
  <c r="Q377" i="4"/>
  <c r="P377" i="4"/>
  <c r="U376" i="4"/>
  <c r="T376" i="4"/>
  <c r="S376" i="4"/>
  <c r="R376" i="4"/>
  <c r="Q376" i="4"/>
  <c r="P376" i="4"/>
  <c r="U375" i="4"/>
  <c r="T375" i="4"/>
  <c r="S375" i="4"/>
  <c r="R375" i="4"/>
  <c r="Q375" i="4"/>
  <c r="P375" i="4"/>
  <c r="U374" i="4"/>
  <c r="T374" i="4"/>
  <c r="S374" i="4"/>
  <c r="R374" i="4"/>
  <c r="Q374" i="4"/>
  <c r="P374" i="4"/>
  <c r="U373" i="4"/>
  <c r="T373" i="4"/>
  <c r="S373" i="4"/>
  <c r="R373" i="4"/>
  <c r="Q373" i="4"/>
  <c r="P373" i="4"/>
  <c r="U372" i="4"/>
  <c r="T372" i="4"/>
  <c r="S372" i="4"/>
  <c r="R372" i="4"/>
  <c r="Q372" i="4"/>
  <c r="P372" i="4"/>
  <c r="U371" i="4"/>
  <c r="T371" i="4"/>
  <c r="S371" i="4"/>
  <c r="R371" i="4"/>
  <c r="Q371" i="4"/>
  <c r="P371" i="4"/>
  <c r="U370" i="4"/>
  <c r="T370" i="4"/>
  <c r="S370" i="4"/>
  <c r="R370" i="4"/>
  <c r="Q370" i="4"/>
  <c r="P370" i="4"/>
  <c r="U369" i="4"/>
  <c r="T369" i="4"/>
  <c r="S369" i="4"/>
  <c r="R369" i="4"/>
  <c r="Q369" i="4"/>
  <c r="P369" i="4"/>
  <c r="U368" i="4"/>
  <c r="T368" i="4"/>
  <c r="S368" i="4"/>
  <c r="R368" i="4"/>
  <c r="Q368" i="4"/>
  <c r="P368" i="4"/>
  <c r="U367" i="4"/>
  <c r="T367" i="4"/>
  <c r="S367" i="4"/>
  <c r="R367" i="4"/>
  <c r="Q367" i="4"/>
  <c r="P367" i="4"/>
  <c r="U366" i="4"/>
  <c r="T366" i="4"/>
  <c r="S366" i="4"/>
  <c r="R366" i="4"/>
  <c r="Q366" i="4"/>
  <c r="P366" i="4"/>
  <c r="U365" i="4"/>
  <c r="T365" i="4"/>
  <c r="S365" i="4"/>
  <c r="R365" i="4"/>
  <c r="Q365" i="4"/>
  <c r="P365" i="4"/>
  <c r="U364" i="4"/>
  <c r="T364" i="4"/>
  <c r="S364" i="4"/>
  <c r="R364" i="4"/>
  <c r="Q364" i="4"/>
  <c r="P364" i="4"/>
  <c r="U363" i="4"/>
  <c r="T363" i="4"/>
  <c r="S363" i="4"/>
  <c r="R363" i="4"/>
  <c r="Q363" i="4"/>
  <c r="P363" i="4"/>
  <c r="U362" i="4"/>
  <c r="T362" i="4"/>
  <c r="S362" i="4"/>
  <c r="R362" i="4"/>
  <c r="Q362" i="4"/>
  <c r="P362" i="4"/>
  <c r="U361" i="4"/>
  <c r="T361" i="4"/>
  <c r="S361" i="4"/>
  <c r="R361" i="4"/>
  <c r="Q361" i="4"/>
  <c r="P361" i="4"/>
  <c r="U360" i="4"/>
  <c r="T360" i="4"/>
  <c r="S360" i="4"/>
  <c r="R360" i="4"/>
  <c r="Q360" i="4"/>
  <c r="P360" i="4"/>
  <c r="U359" i="4"/>
  <c r="T359" i="4"/>
  <c r="S359" i="4"/>
  <c r="R359" i="4"/>
  <c r="Q359" i="4"/>
  <c r="P359" i="4"/>
  <c r="U358" i="4"/>
  <c r="T358" i="4"/>
  <c r="S358" i="4"/>
  <c r="R358" i="4"/>
  <c r="Q358" i="4"/>
  <c r="P358" i="4"/>
  <c r="U357" i="4"/>
  <c r="T357" i="4"/>
  <c r="S357" i="4"/>
  <c r="R357" i="4"/>
  <c r="Q357" i="4"/>
  <c r="P357" i="4"/>
  <c r="U356" i="4"/>
  <c r="T356" i="4"/>
  <c r="S356" i="4"/>
  <c r="R356" i="4"/>
  <c r="Q356" i="4"/>
  <c r="P356" i="4"/>
  <c r="U355" i="4"/>
  <c r="T355" i="4"/>
  <c r="S355" i="4"/>
  <c r="R355" i="4"/>
  <c r="Q355" i="4"/>
  <c r="P355" i="4"/>
  <c r="U354" i="4"/>
  <c r="T354" i="4"/>
  <c r="S354" i="4"/>
  <c r="R354" i="4"/>
  <c r="Q354" i="4"/>
  <c r="P354" i="4"/>
  <c r="U353" i="4"/>
  <c r="T353" i="4"/>
  <c r="S353" i="4"/>
  <c r="R353" i="4"/>
  <c r="Q353" i="4"/>
  <c r="P353" i="4"/>
  <c r="U352" i="4"/>
  <c r="T352" i="4"/>
  <c r="S352" i="4"/>
  <c r="R352" i="4"/>
  <c r="Q352" i="4"/>
  <c r="P352" i="4"/>
  <c r="U351" i="4"/>
  <c r="T351" i="4"/>
  <c r="S351" i="4"/>
  <c r="R351" i="4"/>
  <c r="Q351" i="4"/>
  <c r="P351" i="4"/>
  <c r="U350" i="4"/>
  <c r="T350" i="4"/>
  <c r="S350" i="4"/>
  <c r="R350" i="4"/>
  <c r="Q350" i="4"/>
  <c r="P350" i="4"/>
  <c r="U349" i="4"/>
  <c r="T349" i="4"/>
  <c r="S349" i="4"/>
  <c r="R349" i="4"/>
  <c r="Q349" i="4"/>
  <c r="P349" i="4"/>
  <c r="U348" i="4"/>
  <c r="T348" i="4"/>
  <c r="S348" i="4"/>
  <c r="R348" i="4"/>
  <c r="Q348" i="4"/>
  <c r="P348" i="4"/>
  <c r="U347" i="4"/>
  <c r="T347" i="4"/>
  <c r="S347" i="4"/>
  <c r="R347" i="4"/>
  <c r="Q347" i="4"/>
  <c r="P347" i="4"/>
  <c r="U346" i="4"/>
  <c r="T346" i="4"/>
  <c r="S346" i="4"/>
  <c r="R346" i="4"/>
  <c r="Q346" i="4"/>
  <c r="P346" i="4"/>
  <c r="U345" i="4"/>
  <c r="T345" i="4"/>
  <c r="S345" i="4"/>
  <c r="R345" i="4"/>
  <c r="Q345" i="4"/>
  <c r="P345" i="4"/>
  <c r="U344" i="4"/>
  <c r="T344" i="4"/>
  <c r="S344" i="4"/>
  <c r="R344" i="4"/>
  <c r="Q344" i="4"/>
  <c r="P344" i="4"/>
  <c r="U343" i="4"/>
  <c r="T343" i="4"/>
  <c r="S343" i="4"/>
  <c r="R343" i="4"/>
  <c r="Q343" i="4"/>
  <c r="P343" i="4"/>
  <c r="U342" i="4"/>
  <c r="T342" i="4"/>
  <c r="S342" i="4"/>
  <c r="R342" i="4"/>
  <c r="Q342" i="4"/>
  <c r="P342" i="4"/>
  <c r="U341" i="4"/>
  <c r="T341" i="4"/>
  <c r="S341" i="4"/>
  <c r="R341" i="4"/>
  <c r="Q341" i="4"/>
  <c r="P341" i="4"/>
  <c r="U340" i="4"/>
  <c r="T340" i="4"/>
  <c r="S340" i="4"/>
  <c r="R340" i="4"/>
  <c r="Q340" i="4"/>
  <c r="P340" i="4"/>
  <c r="U339" i="4"/>
  <c r="T339" i="4"/>
  <c r="S339" i="4"/>
  <c r="R339" i="4"/>
  <c r="Q339" i="4"/>
  <c r="P339" i="4"/>
  <c r="U338" i="4"/>
  <c r="T338" i="4"/>
  <c r="S338" i="4"/>
  <c r="R338" i="4"/>
  <c r="Q338" i="4"/>
  <c r="P338" i="4"/>
  <c r="U337" i="4"/>
  <c r="T337" i="4"/>
  <c r="S337" i="4"/>
  <c r="R337" i="4"/>
  <c r="Q337" i="4"/>
  <c r="P337" i="4"/>
  <c r="U336" i="4"/>
  <c r="T336" i="4"/>
  <c r="S336" i="4"/>
  <c r="R336" i="4"/>
  <c r="Q336" i="4"/>
  <c r="P336" i="4"/>
  <c r="U335" i="4"/>
  <c r="T335" i="4"/>
  <c r="S335" i="4"/>
  <c r="R335" i="4"/>
  <c r="Q335" i="4"/>
  <c r="P335" i="4"/>
  <c r="U334" i="4"/>
  <c r="T334" i="4"/>
  <c r="S334" i="4"/>
  <c r="R334" i="4"/>
  <c r="Q334" i="4"/>
  <c r="P334" i="4"/>
  <c r="U333" i="4"/>
  <c r="T333" i="4"/>
  <c r="S333" i="4"/>
  <c r="R333" i="4"/>
  <c r="Q333" i="4"/>
  <c r="P333" i="4"/>
  <c r="U332" i="4"/>
  <c r="T332" i="4"/>
  <c r="S332" i="4"/>
  <c r="R332" i="4"/>
  <c r="Q332" i="4"/>
  <c r="P332" i="4"/>
  <c r="U331" i="4"/>
  <c r="T331" i="4"/>
  <c r="S331" i="4"/>
  <c r="R331" i="4"/>
  <c r="Q331" i="4"/>
  <c r="P331" i="4"/>
  <c r="U330" i="4"/>
  <c r="T330" i="4"/>
  <c r="S330" i="4"/>
  <c r="R330" i="4"/>
  <c r="Q330" i="4"/>
  <c r="P330" i="4"/>
  <c r="U329" i="4"/>
  <c r="T329" i="4"/>
  <c r="S329" i="4"/>
  <c r="R329" i="4"/>
  <c r="Q329" i="4"/>
  <c r="P329" i="4"/>
  <c r="U328" i="4"/>
  <c r="T328" i="4"/>
  <c r="S328" i="4"/>
  <c r="R328" i="4"/>
  <c r="Q328" i="4"/>
  <c r="P328" i="4"/>
  <c r="U327" i="4"/>
  <c r="T327" i="4"/>
  <c r="S327" i="4"/>
  <c r="R327" i="4"/>
  <c r="Q327" i="4"/>
  <c r="P327" i="4"/>
  <c r="U326" i="4"/>
  <c r="T326" i="4"/>
  <c r="S326" i="4"/>
  <c r="R326" i="4"/>
  <c r="Q326" i="4"/>
  <c r="P326" i="4"/>
  <c r="U325" i="4"/>
  <c r="T325" i="4"/>
  <c r="S325" i="4"/>
  <c r="R325" i="4"/>
  <c r="Q325" i="4"/>
  <c r="P325" i="4"/>
  <c r="U324" i="4"/>
  <c r="T324" i="4"/>
  <c r="S324" i="4"/>
  <c r="R324" i="4"/>
  <c r="Q324" i="4"/>
  <c r="P324" i="4"/>
  <c r="U323" i="4"/>
  <c r="T323" i="4"/>
  <c r="S323" i="4"/>
  <c r="R323" i="4"/>
  <c r="Q323" i="4"/>
  <c r="P323" i="4"/>
  <c r="U322" i="4"/>
  <c r="T322" i="4"/>
  <c r="S322" i="4"/>
  <c r="R322" i="4"/>
  <c r="Q322" i="4"/>
  <c r="P322" i="4"/>
  <c r="U321" i="4"/>
  <c r="T321" i="4"/>
  <c r="S321" i="4"/>
  <c r="R321" i="4"/>
  <c r="Q321" i="4"/>
  <c r="P321" i="4"/>
  <c r="U320" i="4"/>
  <c r="T320" i="4"/>
  <c r="S320" i="4"/>
  <c r="R320" i="4"/>
  <c r="Q320" i="4"/>
  <c r="P320" i="4"/>
  <c r="U319" i="4"/>
  <c r="T319" i="4"/>
  <c r="S319" i="4"/>
  <c r="R319" i="4"/>
  <c r="Q319" i="4"/>
  <c r="P319" i="4"/>
  <c r="U318" i="4"/>
  <c r="T318" i="4"/>
  <c r="S318" i="4"/>
  <c r="R318" i="4"/>
  <c r="Q318" i="4"/>
  <c r="P318" i="4"/>
  <c r="U317" i="4"/>
  <c r="T317" i="4"/>
  <c r="S317" i="4"/>
  <c r="R317" i="4"/>
  <c r="Q317" i="4"/>
  <c r="P317" i="4"/>
  <c r="U316" i="4"/>
  <c r="T316" i="4"/>
  <c r="S316" i="4"/>
  <c r="R316" i="4"/>
  <c r="Q316" i="4"/>
  <c r="P316" i="4"/>
  <c r="U315" i="4"/>
  <c r="T315" i="4"/>
  <c r="S315" i="4"/>
  <c r="R315" i="4"/>
  <c r="Q315" i="4"/>
  <c r="P315" i="4"/>
  <c r="U314" i="4"/>
  <c r="T314" i="4"/>
  <c r="S314" i="4"/>
  <c r="R314" i="4"/>
  <c r="Q314" i="4"/>
  <c r="P314" i="4"/>
  <c r="U313" i="4"/>
  <c r="T313" i="4"/>
  <c r="S313" i="4"/>
  <c r="R313" i="4"/>
  <c r="Q313" i="4"/>
  <c r="P313" i="4"/>
  <c r="U312" i="4"/>
  <c r="T312" i="4"/>
  <c r="S312" i="4"/>
  <c r="R312" i="4"/>
  <c r="Q312" i="4"/>
  <c r="P312" i="4"/>
  <c r="U311" i="4"/>
  <c r="T311" i="4"/>
  <c r="S311" i="4"/>
  <c r="R311" i="4"/>
  <c r="Q311" i="4"/>
  <c r="P311" i="4"/>
  <c r="U310" i="4"/>
  <c r="T310" i="4"/>
  <c r="S310" i="4"/>
  <c r="R310" i="4"/>
  <c r="Q310" i="4"/>
  <c r="P310" i="4"/>
  <c r="U309" i="4"/>
  <c r="T309" i="4"/>
  <c r="S309" i="4"/>
  <c r="R309" i="4"/>
  <c r="Q309" i="4"/>
  <c r="P309" i="4"/>
  <c r="U308" i="4"/>
  <c r="T308" i="4"/>
  <c r="S308" i="4"/>
  <c r="R308" i="4"/>
  <c r="Q308" i="4"/>
  <c r="P308" i="4"/>
  <c r="U307" i="4"/>
  <c r="T307" i="4"/>
  <c r="S307" i="4"/>
  <c r="R307" i="4"/>
  <c r="Q307" i="4"/>
  <c r="P307" i="4"/>
  <c r="U306" i="4"/>
  <c r="T306" i="4"/>
  <c r="S306" i="4"/>
  <c r="R306" i="4"/>
  <c r="Q306" i="4"/>
  <c r="P306" i="4"/>
  <c r="U305" i="4"/>
  <c r="T305" i="4"/>
  <c r="S305" i="4"/>
  <c r="R305" i="4"/>
  <c r="Q305" i="4"/>
  <c r="P305" i="4"/>
  <c r="U304" i="4"/>
  <c r="T304" i="4"/>
  <c r="S304" i="4"/>
  <c r="R304" i="4"/>
  <c r="Q304" i="4"/>
  <c r="P304" i="4"/>
  <c r="U303" i="4"/>
  <c r="T303" i="4"/>
  <c r="S303" i="4"/>
  <c r="R303" i="4"/>
  <c r="Q303" i="4"/>
  <c r="P303" i="4"/>
  <c r="U302" i="4"/>
  <c r="T302" i="4"/>
  <c r="S302" i="4"/>
  <c r="R302" i="4"/>
  <c r="Q302" i="4"/>
  <c r="P302" i="4"/>
  <c r="U301" i="4"/>
  <c r="T301" i="4"/>
  <c r="S301" i="4"/>
  <c r="R301" i="4"/>
  <c r="Q301" i="4"/>
  <c r="P301" i="4"/>
  <c r="U300" i="4"/>
  <c r="T300" i="4"/>
  <c r="S300" i="4"/>
  <c r="R300" i="4"/>
  <c r="Q300" i="4"/>
  <c r="P300" i="4"/>
  <c r="U299" i="4"/>
  <c r="T299" i="4"/>
  <c r="S299" i="4"/>
  <c r="R299" i="4"/>
  <c r="Q299" i="4"/>
  <c r="P299" i="4"/>
  <c r="U298" i="4"/>
  <c r="T298" i="4"/>
  <c r="S298" i="4"/>
  <c r="R298" i="4"/>
  <c r="Q298" i="4"/>
  <c r="P298" i="4"/>
  <c r="U297" i="4"/>
  <c r="T297" i="4"/>
  <c r="S297" i="4"/>
  <c r="R297" i="4"/>
  <c r="Q297" i="4"/>
  <c r="P297" i="4"/>
  <c r="U296" i="4"/>
  <c r="T296" i="4"/>
  <c r="S296" i="4"/>
  <c r="R296" i="4"/>
  <c r="Q296" i="4"/>
  <c r="P296" i="4"/>
  <c r="U295" i="4"/>
  <c r="T295" i="4"/>
  <c r="S295" i="4"/>
  <c r="R295" i="4"/>
  <c r="Q295" i="4"/>
  <c r="P295" i="4"/>
  <c r="U294" i="4"/>
  <c r="T294" i="4"/>
  <c r="S294" i="4"/>
  <c r="R294" i="4"/>
  <c r="Q294" i="4"/>
  <c r="P294" i="4"/>
  <c r="U293" i="4"/>
  <c r="T293" i="4"/>
  <c r="S293" i="4"/>
  <c r="R293" i="4"/>
  <c r="Q293" i="4"/>
  <c r="P293" i="4"/>
  <c r="U292" i="4"/>
  <c r="T292" i="4"/>
  <c r="S292" i="4"/>
  <c r="R292" i="4"/>
  <c r="Q292" i="4"/>
  <c r="P292" i="4"/>
  <c r="U291" i="4"/>
  <c r="T291" i="4"/>
  <c r="S291" i="4"/>
  <c r="R291" i="4"/>
  <c r="Q291" i="4"/>
  <c r="P291" i="4"/>
  <c r="U290" i="4"/>
  <c r="T290" i="4"/>
  <c r="S290" i="4"/>
  <c r="R290" i="4"/>
  <c r="Q290" i="4"/>
  <c r="P290" i="4"/>
  <c r="U289" i="4"/>
  <c r="T289" i="4"/>
  <c r="S289" i="4"/>
  <c r="R289" i="4"/>
  <c r="Q289" i="4"/>
  <c r="P289" i="4"/>
  <c r="U288" i="4"/>
  <c r="T288" i="4"/>
  <c r="S288" i="4"/>
  <c r="R288" i="4"/>
  <c r="Q288" i="4"/>
  <c r="P288" i="4"/>
  <c r="U287" i="4"/>
  <c r="T287" i="4"/>
  <c r="S287" i="4"/>
  <c r="R287" i="4"/>
  <c r="Q287" i="4"/>
  <c r="P287" i="4"/>
  <c r="U286" i="4"/>
  <c r="T286" i="4"/>
  <c r="S286" i="4"/>
  <c r="R286" i="4"/>
  <c r="Q286" i="4"/>
  <c r="P286" i="4"/>
  <c r="U285" i="4"/>
  <c r="T285" i="4"/>
  <c r="S285" i="4"/>
  <c r="R285" i="4"/>
  <c r="Q285" i="4"/>
  <c r="P285" i="4"/>
  <c r="U284" i="4"/>
  <c r="T284" i="4"/>
  <c r="S284" i="4"/>
  <c r="R284" i="4"/>
  <c r="Q284" i="4"/>
  <c r="P284" i="4"/>
  <c r="U283" i="4"/>
  <c r="T283" i="4"/>
  <c r="S283" i="4"/>
  <c r="R283" i="4"/>
  <c r="Q283" i="4"/>
  <c r="P283" i="4"/>
  <c r="U282" i="4"/>
  <c r="T282" i="4"/>
  <c r="S282" i="4"/>
  <c r="R282" i="4"/>
  <c r="Q282" i="4"/>
  <c r="P282" i="4"/>
  <c r="U281" i="4"/>
  <c r="T281" i="4"/>
  <c r="S281" i="4"/>
  <c r="R281" i="4"/>
  <c r="Q281" i="4"/>
  <c r="P281" i="4"/>
  <c r="U280" i="4"/>
  <c r="T280" i="4"/>
  <c r="S280" i="4"/>
  <c r="R280" i="4"/>
  <c r="Q280" i="4"/>
  <c r="P280" i="4"/>
  <c r="U279" i="4"/>
  <c r="T279" i="4"/>
  <c r="S279" i="4"/>
  <c r="R279" i="4"/>
  <c r="Q279" i="4"/>
  <c r="P279" i="4"/>
  <c r="U278" i="4"/>
  <c r="T278" i="4"/>
  <c r="S278" i="4"/>
  <c r="R278" i="4"/>
  <c r="Q278" i="4"/>
  <c r="P278" i="4"/>
  <c r="U277" i="4"/>
  <c r="T277" i="4"/>
  <c r="S277" i="4"/>
  <c r="R277" i="4"/>
  <c r="Q277" i="4"/>
  <c r="P277" i="4"/>
  <c r="U276" i="4"/>
  <c r="T276" i="4"/>
  <c r="S276" i="4"/>
  <c r="R276" i="4"/>
  <c r="Q276" i="4"/>
  <c r="P276" i="4"/>
  <c r="U275" i="4"/>
  <c r="T275" i="4"/>
  <c r="S275" i="4"/>
  <c r="R275" i="4"/>
  <c r="Q275" i="4"/>
  <c r="P275" i="4"/>
  <c r="U274" i="4"/>
  <c r="T274" i="4"/>
  <c r="S274" i="4"/>
  <c r="R274" i="4"/>
  <c r="Q274" i="4"/>
  <c r="P274" i="4"/>
  <c r="U273" i="4"/>
  <c r="T273" i="4"/>
  <c r="S273" i="4"/>
  <c r="R273" i="4"/>
  <c r="Q273" i="4"/>
  <c r="P273" i="4"/>
  <c r="U272" i="4"/>
  <c r="T272" i="4"/>
  <c r="S272" i="4"/>
  <c r="R272" i="4"/>
  <c r="Q272" i="4"/>
  <c r="P272" i="4"/>
  <c r="U271" i="4"/>
  <c r="T271" i="4"/>
  <c r="S271" i="4"/>
  <c r="R271" i="4"/>
  <c r="Q271" i="4"/>
  <c r="P271" i="4"/>
  <c r="U270" i="4"/>
  <c r="T270" i="4"/>
  <c r="S270" i="4"/>
  <c r="R270" i="4"/>
  <c r="Q270" i="4"/>
  <c r="P270" i="4"/>
  <c r="U269" i="4"/>
  <c r="T269" i="4"/>
  <c r="S269" i="4"/>
  <c r="R269" i="4"/>
  <c r="Q269" i="4"/>
  <c r="P269" i="4"/>
  <c r="U268" i="4"/>
  <c r="T268" i="4"/>
  <c r="S268" i="4"/>
  <c r="R268" i="4"/>
  <c r="Q268" i="4"/>
  <c r="P268" i="4"/>
  <c r="U267" i="4"/>
  <c r="T267" i="4"/>
  <c r="S267" i="4"/>
  <c r="R267" i="4"/>
  <c r="Q267" i="4"/>
  <c r="P267" i="4"/>
  <c r="U266" i="4"/>
  <c r="T266" i="4"/>
  <c r="S266" i="4"/>
  <c r="R266" i="4"/>
  <c r="Q266" i="4"/>
  <c r="P266" i="4"/>
  <c r="U265" i="4"/>
  <c r="T265" i="4"/>
  <c r="S265" i="4"/>
  <c r="R265" i="4"/>
  <c r="Q265" i="4"/>
  <c r="P265" i="4"/>
  <c r="U264" i="4"/>
  <c r="T264" i="4"/>
  <c r="S264" i="4"/>
  <c r="R264" i="4"/>
  <c r="Q264" i="4"/>
  <c r="P264" i="4"/>
  <c r="U263" i="4"/>
  <c r="T263" i="4"/>
  <c r="S263" i="4"/>
  <c r="R263" i="4"/>
  <c r="Q263" i="4"/>
  <c r="P263" i="4"/>
  <c r="U262" i="4"/>
  <c r="T262" i="4"/>
  <c r="S262" i="4"/>
  <c r="R262" i="4"/>
  <c r="Q262" i="4"/>
  <c r="P262" i="4"/>
  <c r="U261" i="4"/>
  <c r="T261" i="4"/>
  <c r="S261" i="4"/>
  <c r="R261" i="4"/>
  <c r="Q261" i="4"/>
  <c r="P261" i="4"/>
  <c r="U260" i="4"/>
  <c r="T260" i="4"/>
  <c r="S260" i="4"/>
  <c r="R260" i="4"/>
  <c r="Q260" i="4"/>
  <c r="P260" i="4"/>
  <c r="U259" i="4"/>
  <c r="T259" i="4"/>
  <c r="S259" i="4"/>
  <c r="R259" i="4"/>
  <c r="Q259" i="4"/>
  <c r="P259" i="4"/>
  <c r="U258" i="4"/>
  <c r="T258" i="4"/>
  <c r="S258" i="4"/>
  <c r="R258" i="4"/>
  <c r="Q258" i="4"/>
  <c r="P258" i="4"/>
  <c r="U257" i="4"/>
  <c r="T257" i="4"/>
  <c r="S257" i="4"/>
  <c r="R257" i="4"/>
  <c r="Q257" i="4"/>
  <c r="P257" i="4"/>
  <c r="U256" i="4"/>
  <c r="T256" i="4"/>
  <c r="S256" i="4"/>
  <c r="R256" i="4"/>
  <c r="Q256" i="4"/>
  <c r="P256" i="4"/>
  <c r="U255" i="4"/>
  <c r="T255" i="4"/>
  <c r="S255" i="4"/>
  <c r="R255" i="4"/>
  <c r="Q255" i="4"/>
  <c r="P255" i="4"/>
  <c r="U254" i="4"/>
  <c r="T254" i="4"/>
  <c r="S254" i="4"/>
  <c r="R254" i="4"/>
  <c r="Q254" i="4"/>
  <c r="P254" i="4"/>
  <c r="U253" i="4"/>
  <c r="T253" i="4"/>
  <c r="S253" i="4"/>
  <c r="R253" i="4"/>
  <c r="Q253" i="4"/>
  <c r="P253" i="4"/>
  <c r="U252" i="4"/>
  <c r="T252" i="4"/>
  <c r="S252" i="4"/>
  <c r="R252" i="4"/>
  <c r="Q252" i="4"/>
  <c r="P252" i="4"/>
  <c r="U251" i="4"/>
  <c r="T251" i="4"/>
  <c r="S251" i="4"/>
  <c r="R251" i="4"/>
  <c r="Q251" i="4"/>
  <c r="P251" i="4"/>
  <c r="U250" i="4"/>
  <c r="T250" i="4"/>
  <c r="S250" i="4"/>
  <c r="R250" i="4"/>
  <c r="Q250" i="4"/>
  <c r="P250" i="4"/>
  <c r="U249" i="4"/>
  <c r="T249" i="4"/>
  <c r="S249" i="4"/>
  <c r="R249" i="4"/>
  <c r="Q249" i="4"/>
  <c r="P249" i="4"/>
  <c r="U248" i="4"/>
  <c r="T248" i="4"/>
  <c r="S248" i="4"/>
  <c r="R248" i="4"/>
  <c r="Q248" i="4"/>
  <c r="P248" i="4"/>
  <c r="U247" i="4"/>
  <c r="T247" i="4"/>
  <c r="S247" i="4"/>
  <c r="R247" i="4"/>
  <c r="Q247" i="4"/>
  <c r="P247" i="4"/>
  <c r="U246" i="4"/>
  <c r="T246" i="4"/>
  <c r="S246" i="4"/>
  <c r="R246" i="4"/>
  <c r="Q246" i="4"/>
  <c r="P246" i="4"/>
  <c r="U245" i="4"/>
  <c r="T245" i="4"/>
  <c r="S245" i="4"/>
  <c r="R245" i="4"/>
  <c r="Q245" i="4"/>
  <c r="P245" i="4"/>
  <c r="U244" i="4"/>
  <c r="T244" i="4"/>
  <c r="S244" i="4"/>
  <c r="R244" i="4"/>
  <c r="Q244" i="4"/>
  <c r="P244" i="4"/>
  <c r="U243" i="4"/>
  <c r="T243" i="4"/>
  <c r="S243" i="4"/>
  <c r="R243" i="4"/>
  <c r="Q243" i="4"/>
  <c r="P243" i="4"/>
  <c r="U242" i="4"/>
  <c r="T242" i="4"/>
  <c r="S242" i="4"/>
  <c r="R242" i="4"/>
  <c r="Q242" i="4"/>
  <c r="P242" i="4"/>
  <c r="U241" i="4"/>
  <c r="T241" i="4"/>
  <c r="S241" i="4"/>
  <c r="R241" i="4"/>
  <c r="Q241" i="4"/>
  <c r="P241" i="4"/>
  <c r="U240" i="4"/>
  <c r="T240" i="4"/>
  <c r="S240" i="4"/>
  <c r="R240" i="4"/>
  <c r="Q240" i="4"/>
  <c r="P240" i="4"/>
  <c r="U239" i="4"/>
  <c r="T239" i="4"/>
  <c r="S239" i="4"/>
  <c r="R239" i="4"/>
  <c r="Q239" i="4"/>
  <c r="P239" i="4"/>
  <c r="U238" i="4"/>
  <c r="T238" i="4"/>
  <c r="S238" i="4"/>
  <c r="R238" i="4"/>
  <c r="Q238" i="4"/>
  <c r="P238" i="4"/>
  <c r="U237" i="4"/>
  <c r="T237" i="4"/>
  <c r="S237" i="4"/>
  <c r="R237" i="4"/>
  <c r="Q237" i="4"/>
  <c r="P237" i="4"/>
  <c r="U236" i="4"/>
  <c r="T236" i="4"/>
  <c r="S236" i="4"/>
  <c r="R236" i="4"/>
  <c r="Q236" i="4"/>
  <c r="P236" i="4"/>
  <c r="U235" i="4"/>
  <c r="T235" i="4"/>
  <c r="S235" i="4"/>
  <c r="R235" i="4"/>
  <c r="Q235" i="4"/>
  <c r="P235" i="4"/>
  <c r="U234" i="4"/>
  <c r="T234" i="4"/>
  <c r="S234" i="4"/>
  <c r="R234" i="4"/>
  <c r="Q234" i="4"/>
  <c r="P234" i="4"/>
  <c r="U233" i="4"/>
  <c r="T233" i="4"/>
  <c r="S233" i="4"/>
  <c r="R233" i="4"/>
  <c r="Q233" i="4"/>
  <c r="P233" i="4"/>
  <c r="U232" i="4"/>
  <c r="T232" i="4"/>
  <c r="S232" i="4"/>
  <c r="R232" i="4"/>
  <c r="Q232" i="4"/>
  <c r="P232" i="4"/>
  <c r="U231" i="4"/>
  <c r="T231" i="4"/>
  <c r="S231" i="4"/>
  <c r="R231" i="4"/>
  <c r="Q231" i="4"/>
  <c r="P231" i="4"/>
  <c r="U230" i="4"/>
  <c r="T230" i="4"/>
  <c r="S230" i="4"/>
  <c r="R230" i="4"/>
  <c r="Q230" i="4"/>
  <c r="P230" i="4"/>
  <c r="U229" i="4"/>
  <c r="T229" i="4"/>
  <c r="S229" i="4"/>
  <c r="R229" i="4"/>
  <c r="Q229" i="4"/>
  <c r="P229" i="4"/>
  <c r="U228" i="4"/>
  <c r="T228" i="4"/>
  <c r="S228" i="4"/>
  <c r="R228" i="4"/>
  <c r="Q228" i="4"/>
  <c r="P228" i="4"/>
  <c r="U227" i="4"/>
  <c r="T227" i="4"/>
  <c r="S227" i="4"/>
  <c r="R227" i="4"/>
  <c r="Q227" i="4"/>
  <c r="P227" i="4"/>
  <c r="U226" i="4"/>
  <c r="T226" i="4"/>
  <c r="S226" i="4"/>
  <c r="R226" i="4"/>
  <c r="Q226" i="4"/>
  <c r="P226" i="4"/>
  <c r="U225" i="4"/>
  <c r="T225" i="4"/>
  <c r="S225" i="4"/>
  <c r="R225" i="4"/>
  <c r="Q225" i="4"/>
  <c r="P225" i="4"/>
  <c r="U224" i="4"/>
  <c r="T224" i="4"/>
  <c r="S224" i="4"/>
  <c r="R224" i="4"/>
  <c r="Q224" i="4"/>
  <c r="P224" i="4"/>
  <c r="U223" i="4"/>
  <c r="T223" i="4"/>
  <c r="S223" i="4"/>
  <c r="R223" i="4"/>
  <c r="Q223" i="4"/>
  <c r="P223" i="4"/>
  <c r="U222" i="4"/>
  <c r="T222" i="4"/>
  <c r="S222" i="4"/>
  <c r="R222" i="4"/>
  <c r="Q222" i="4"/>
  <c r="P222" i="4"/>
  <c r="U221" i="4"/>
  <c r="T221" i="4"/>
  <c r="S221" i="4"/>
  <c r="R221" i="4"/>
  <c r="Q221" i="4"/>
  <c r="P221" i="4"/>
  <c r="U220" i="4"/>
  <c r="T220" i="4"/>
  <c r="S220" i="4"/>
  <c r="R220" i="4"/>
  <c r="Q220" i="4"/>
  <c r="P220" i="4"/>
  <c r="U219" i="4"/>
  <c r="T219" i="4"/>
  <c r="S219" i="4"/>
  <c r="R219" i="4"/>
  <c r="Q219" i="4"/>
  <c r="P219" i="4"/>
  <c r="U218" i="4"/>
  <c r="T218" i="4"/>
  <c r="S218" i="4"/>
  <c r="R218" i="4"/>
  <c r="Q218" i="4"/>
  <c r="P218" i="4"/>
  <c r="U217" i="4"/>
  <c r="T217" i="4"/>
  <c r="S217" i="4"/>
  <c r="R217" i="4"/>
  <c r="Q217" i="4"/>
  <c r="P217" i="4"/>
  <c r="U216" i="4"/>
  <c r="T216" i="4"/>
  <c r="S216" i="4"/>
  <c r="R216" i="4"/>
  <c r="Q216" i="4"/>
  <c r="P216" i="4"/>
  <c r="U215" i="4"/>
  <c r="T215" i="4"/>
  <c r="S215" i="4"/>
  <c r="R215" i="4"/>
  <c r="Q215" i="4"/>
  <c r="P215" i="4"/>
  <c r="U214" i="4"/>
  <c r="T214" i="4"/>
  <c r="S214" i="4"/>
  <c r="R214" i="4"/>
  <c r="Q214" i="4"/>
  <c r="P214" i="4"/>
  <c r="U213" i="4"/>
  <c r="T213" i="4"/>
  <c r="S213" i="4"/>
  <c r="R213" i="4"/>
  <c r="Q213" i="4"/>
  <c r="P213" i="4"/>
  <c r="U212" i="4"/>
  <c r="T212" i="4"/>
  <c r="S212" i="4"/>
  <c r="R212" i="4"/>
  <c r="Q212" i="4"/>
  <c r="P212" i="4"/>
  <c r="U211" i="4"/>
  <c r="T211" i="4"/>
  <c r="S211" i="4"/>
  <c r="R211" i="4"/>
  <c r="Q211" i="4"/>
  <c r="P211" i="4"/>
  <c r="U210" i="4"/>
  <c r="T210" i="4"/>
  <c r="S210" i="4"/>
  <c r="R210" i="4"/>
  <c r="Q210" i="4"/>
  <c r="P210" i="4"/>
  <c r="U209" i="4"/>
  <c r="T209" i="4"/>
  <c r="S209" i="4"/>
  <c r="R209" i="4"/>
  <c r="Q209" i="4"/>
  <c r="P209" i="4"/>
  <c r="U208" i="4"/>
  <c r="T208" i="4"/>
  <c r="S208" i="4"/>
  <c r="R208" i="4"/>
  <c r="Q208" i="4"/>
  <c r="P208" i="4"/>
  <c r="U207" i="4"/>
  <c r="T207" i="4"/>
  <c r="S207" i="4"/>
  <c r="R207" i="4"/>
  <c r="Q207" i="4"/>
  <c r="P207" i="4"/>
  <c r="U206" i="4"/>
  <c r="T206" i="4"/>
  <c r="S206" i="4"/>
  <c r="R206" i="4"/>
  <c r="Q206" i="4"/>
  <c r="P206" i="4"/>
  <c r="U205" i="4"/>
  <c r="T205" i="4"/>
  <c r="S205" i="4"/>
  <c r="R205" i="4"/>
  <c r="Q205" i="4"/>
  <c r="P205" i="4"/>
  <c r="U204" i="4"/>
  <c r="T204" i="4"/>
  <c r="S204" i="4"/>
  <c r="R204" i="4"/>
  <c r="Q204" i="4"/>
  <c r="P204" i="4"/>
  <c r="U203" i="4"/>
  <c r="T203" i="4"/>
  <c r="S203" i="4"/>
  <c r="R203" i="4"/>
  <c r="Q203" i="4"/>
  <c r="P203" i="4"/>
  <c r="U202" i="4"/>
  <c r="T202" i="4"/>
  <c r="S202" i="4"/>
  <c r="R202" i="4"/>
  <c r="Q202" i="4"/>
  <c r="P202" i="4"/>
  <c r="U201" i="4"/>
  <c r="T201" i="4"/>
  <c r="S201" i="4"/>
  <c r="R201" i="4"/>
  <c r="Q201" i="4"/>
  <c r="P201" i="4"/>
  <c r="U200" i="4"/>
  <c r="T200" i="4"/>
  <c r="S200" i="4"/>
  <c r="R200" i="4"/>
  <c r="Q200" i="4"/>
  <c r="P200" i="4"/>
  <c r="U199" i="4"/>
  <c r="T199" i="4"/>
  <c r="S199" i="4"/>
  <c r="R199" i="4"/>
  <c r="Q199" i="4"/>
  <c r="P199" i="4"/>
  <c r="U198" i="4"/>
  <c r="T198" i="4"/>
  <c r="S198" i="4"/>
  <c r="R198" i="4"/>
  <c r="Q198" i="4"/>
  <c r="P198" i="4"/>
  <c r="U197" i="4"/>
  <c r="T197" i="4"/>
  <c r="S197" i="4"/>
  <c r="R197" i="4"/>
  <c r="Q197" i="4"/>
  <c r="P197" i="4"/>
  <c r="U196" i="4"/>
  <c r="T196" i="4"/>
  <c r="S196" i="4"/>
  <c r="R196" i="4"/>
  <c r="Q196" i="4"/>
  <c r="P196" i="4"/>
  <c r="U195" i="4"/>
  <c r="T195" i="4"/>
  <c r="S195" i="4"/>
  <c r="R195" i="4"/>
  <c r="Q195" i="4"/>
  <c r="P195" i="4"/>
  <c r="U194" i="4"/>
  <c r="T194" i="4"/>
  <c r="S194" i="4"/>
  <c r="R194" i="4"/>
  <c r="Q194" i="4"/>
  <c r="P194" i="4"/>
  <c r="U193" i="4"/>
  <c r="T193" i="4"/>
  <c r="S193" i="4"/>
  <c r="R193" i="4"/>
  <c r="Q193" i="4"/>
  <c r="P193" i="4"/>
  <c r="U192" i="4"/>
  <c r="T192" i="4"/>
  <c r="S192" i="4"/>
  <c r="R192" i="4"/>
  <c r="Q192" i="4"/>
  <c r="P192" i="4"/>
  <c r="U191" i="4"/>
  <c r="T191" i="4"/>
  <c r="S191" i="4"/>
  <c r="R191" i="4"/>
  <c r="Q191" i="4"/>
  <c r="P191" i="4"/>
  <c r="U190" i="4"/>
  <c r="T190" i="4"/>
  <c r="S190" i="4"/>
  <c r="R190" i="4"/>
  <c r="Q190" i="4"/>
  <c r="P190" i="4"/>
  <c r="U189" i="4"/>
  <c r="T189" i="4"/>
  <c r="S189" i="4"/>
  <c r="R189" i="4"/>
  <c r="Q189" i="4"/>
  <c r="P189" i="4"/>
  <c r="U188" i="4"/>
  <c r="T188" i="4"/>
  <c r="S188" i="4"/>
  <c r="R188" i="4"/>
  <c r="Q188" i="4"/>
  <c r="P188" i="4"/>
  <c r="U187" i="4"/>
  <c r="T187" i="4"/>
  <c r="S187" i="4"/>
  <c r="R187" i="4"/>
  <c r="Q187" i="4"/>
  <c r="P187" i="4"/>
  <c r="U186" i="4"/>
  <c r="T186" i="4"/>
  <c r="S186" i="4"/>
  <c r="R186" i="4"/>
  <c r="Q186" i="4"/>
  <c r="P186" i="4"/>
  <c r="U185" i="4"/>
  <c r="T185" i="4"/>
  <c r="S185" i="4"/>
  <c r="R185" i="4"/>
  <c r="Q185" i="4"/>
  <c r="P185" i="4"/>
  <c r="U184" i="4"/>
  <c r="T184" i="4"/>
  <c r="S184" i="4"/>
  <c r="R184" i="4"/>
  <c r="Q184" i="4"/>
  <c r="P184" i="4"/>
  <c r="U183" i="4"/>
  <c r="T183" i="4"/>
  <c r="S183" i="4"/>
  <c r="R183" i="4"/>
  <c r="Q183" i="4"/>
  <c r="P183" i="4"/>
  <c r="U182" i="4"/>
  <c r="T182" i="4"/>
  <c r="S182" i="4"/>
  <c r="R182" i="4"/>
  <c r="Q182" i="4"/>
  <c r="P182" i="4"/>
  <c r="U181" i="4"/>
  <c r="T181" i="4"/>
  <c r="S181" i="4"/>
  <c r="R181" i="4"/>
  <c r="Q181" i="4"/>
  <c r="P181" i="4"/>
  <c r="U180" i="4"/>
  <c r="T180" i="4"/>
  <c r="S180" i="4"/>
  <c r="R180" i="4"/>
  <c r="Q180" i="4"/>
  <c r="P180" i="4"/>
  <c r="U179" i="4"/>
  <c r="T179" i="4"/>
  <c r="S179" i="4"/>
  <c r="R179" i="4"/>
  <c r="Q179" i="4"/>
  <c r="P179" i="4"/>
  <c r="U178" i="4"/>
  <c r="T178" i="4"/>
  <c r="S178" i="4"/>
  <c r="R178" i="4"/>
  <c r="Q178" i="4"/>
  <c r="P178" i="4"/>
  <c r="U177" i="4"/>
  <c r="T177" i="4"/>
  <c r="S177" i="4"/>
  <c r="R177" i="4"/>
  <c r="Q177" i="4"/>
  <c r="P177" i="4"/>
  <c r="U176" i="4"/>
  <c r="T176" i="4"/>
  <c r="S176" i="4"/>
  <c r="R176" i="4"/>
  <c r="Q176" i="4"/>
  <c r="P176" i="4"/>
  <c r="U175" i="4"/>
  <c r="T175" i="4"/>
  <c r="S175" i="4"/>
  <c r="R175" i="4"/>
  <c r="Q175" i="4"/>
  <c r="P175" i="4"/>
  <c r="U174" i="4"/>
  <c r="T174" i="4"/>
  <c r="S174" i="4"/>
  <c r="R174" i="4"/>
  <c r="Q174" i="4"/>
  <c r="P174" i="4"/>
  <c r="U173" i="4"/>
  <c r="T173" i="4"/>
  <c r="S173" i="4"/>
  <c r="R173" i="4"/>
  <c r="Q173" i="4"/>
  <c r="P173" i="4"/>
  <c r="U172" i="4"/>
  <c r="T172" i="4"/>
  <c r="S172" i="4"/>
  <c r="R172" i="4"/>
  <c r="Q172" i="4"/>
  <c r="P172" i="4"/>
  <c r="U171" i="4"/>
  <c r="T171" i="4"/>
  <c r="S171" i="4"/>
  <c r="R171" i="4"/>
  <c r="Q171" i="4"/>
  <c r="P171" i="4"/>
  <c r="U170" i="4"/>
  <c r="T170" i="4"/>
  <c r="S170" i="4"/>
  <c r="R170" i="4"/>
  <c r="Q170" i="4"/>
  <c r="P170" i="4"/>
  <c r="U169" i="4"/>
  <c r="T169" i="4"/>
  <c r="S169" i="4"/>
  <c r="R169" i="4"/>
  <c r="Q169" i="4"/>
  <c r="P169" i="4"/>
  <c r="U168" i="4"/>
  <c r="T168" i="4"/>
  <c r="S168" i="4"/>
  <c r="R168" i="4"/>
  <c r="Q168" i="4"/>
  <c r="P168" i="4"/>
  <c r="U167" i="4"/>
  <c r="T167" i="4"/>
  <c r="S167" i="4"/>
  <c r="R167" i="4"/>
  <c r="Q167" i="4"/>
  <c r="P167" i="4"/>
  <c r="U166" i="4"/>
  <c r="T166" i="4"/>
  <c r="S166" i="4"/>
  <c r="R166" i="4"/>
  <c r="Q166" i="4"/>
  <c r="P166" i="4"/>
  <c r="U165" i="4"/>
  <c r="T165" i="4"/>
  <c r="S165" i="4"/>
  <c r="R165" i="4"/>
  <c r="Q165" i="4"/>
  <c r="P165" i="4"/>
  <c r="U164" i="4"/>
  <c r="T164" i="4"/>
  <c r="S164" i="4"/>
  <c r="R164" i="4"/>
  <c r="Q164" i="4"/>
  <c r="P164" i="4"/>
  <c r="U163" i="4"/>
  <c r="T163" i="4"/>
  <c r="S163" i="4"/>
  <c r="R163" i="4"/>
  <c r="Q163" i="4"/>
  <c r="P163" i="4"/>
  <c r="U162" i="4"/>
  <c r="T162" i="4"/>
  <c r="S162" i="4"/>
  <c r="R162" i="4"/>
  <c r="Q162" i="4"/>
  <c r="P162" i="4"/>
  <c r="U161" i="4"/>
  <c r="T161" i="4"/>
  <c r="S161" i="4"/>
  <c r="R161" i="4"/>
  <c r="Q161" i="4"/>
  <c r="P161" i="4"/>
  <c r="U160" i="4"/>
  <c r="T160" i="4"/>
  <c r="S160" i="4"/>
  <c r="R160" i="4"/>
  <c r="Q160" i="4"/>
  <c r="P160" i="4"/>
  <c r="U159" i="4"/>
  <c r="T159" i="4"/>
  <c r="S159" i="4"/>
  <c r="R159" i="4"/>
  <c r="Q159" i="4"/>
  <c r="P159" i="4"/>
  <c r="U158" i="4"/>
  <c r="T158" i="4"/>
  <c r="S158" i="4"/>
  <c r="R158" i="4"/>
  <c r="Q158" i="4"/>
  <c r="P158" i="4"/>
  <c r="U157" i="4"/>
  <c r="T157" i="4"/>
  <c r="S157" i="4"/>
  <c r="R157" i="4"/>
  <c r="Q157" i="4"/>
  <c r="P157" i="4"/>
  <c r="U156" i="4"/>
  <c r="T156" i="4"/>
  <c r="S156" i="4"/>
  <c r="R156" i="4"/>
  <c r="Q156" i="4"/>
  <c r="P156" i="4"/>
  <c r="U155" i="4"/>
  <c r="T155" i="4"/>
  <c r="S155" i="4"/>
  <c r="R155" i="4"/>
  <c r="Q155" i="4"/>
  <c r="P155" i="4"/>
  <c r="U154" i="4"/>
  <c r="T154" i="4"/>
  <c r="S154" i="4"/>
  <c r="R154" i="4"/>
  <c r="Q154" i="4"/>
  <c r="P154" i="4"/>
  <c r="U153" i="4"/>
  <c r="T153" i="4"/>
  <c r="S153" i="4"/>
  <c r="R153" i="4"/>
  <c r="Q153" i="4"/>
  <c r="P153" i="4"/>
  <c r="U152" i="4"/>
  <c r="T152" i="4"/>
  <c r="S152" i="4"/>
  <c r="R152" i="4"/>
  <c r="Q152" i="4"/>
  <c r="P152" i="4"/>
  <c r="U151" i="4"/>
  <c r="T151" i="4"/>
  <c r="S151" i="4"/>
  <c r="R151" i="4"/>
  <c r="Q151" i="4"/>
  <c r="P151" i="4"/>
  <c r="U150" i="4"/>
  <c r="T150" i="4"/>
  <c r="S150" i="4"/>
  <c r="R150" i="4"/>
  <c r="Q150" i="4"/>
  <c r="P150" i="4"/>
  <c r="U149" i="4"/>
  <c r="T149" i="4"/>
  <c r="S149" i="4"/>
  <c r="R149" i="4"/>
  <c r="Q149" i="4"/>
  <c r="P149" i="4"/>
  <c r="U148" i="4"/>
  <c r="T148" i="4"/>
  <c r="S148" i="4"/>
  <c r="R148" i="4"/>
  <c r="Q148" i="4"/>
  <c r="P148" i="4"/>
  <c r="U147" i="4"/>
  <c r="T147" i="4"/>
  <c r="S147" i="4"/>
  <c r="R147" i="4"/>
  <c r="Q147" i="4"/>
  <c r="P147" i="4"/>
  <c r="U146" i="4"/>
  <c r="T146" i="4"/>
  <c r="S146" i="4"/>
  <c r="R146" i="4"/>
  <c r="Q146" i="4"/>
  <c r="P146" i="4"/>
  <c r="U145" i="4"/>
  <c r="T145" i="4"/>
  <c r="S145" i="4"/>
  <c r="R145" i="4"/>
  <c r="Q145" i="4"/>
  <c r="P145" i="4"/>
  <c r="U144" i="4"/>
  <c r="T144" i="4"/>
  <c r="S144" i="4"/>
  <c r="R144" i="4"/>
  <c r="Q144" i="4"/>
  <c r="P144" i="4"/>
  <c r="U143" i="4"/>
  <c r="T143" i="4"/>
  <c r="S143" i="4"/>
  <c r="R143" i="4"/>
  <c r="Q143" i="4"/>
  <c r="P143" i="4"/>
  <c r="U142" i="4"/>
  <c r="T142" i="4"/>
  <c r="S142" i="4"/>
  <c r="R142" i="4"/>
  <c r="Q142" i="4"/>
  <c r="P142" i="4"/>
  <c r="U141" i="4"/>
  <c r="T141" i="4"/>
  <c r="S141" i="4"/>
  <c r="R141" i="4"/>
  <c r="Q141" i="4"/>
  <c r="P141" i="4"/>
  <c r="U140" i="4"/>
  <c r="T140" i="4"/>
  <c r="S140" i="4"/>
  <c r="R140" i="4"/>
  <c r="Q140" i="4"/>
  <c r="P140" i="4"/>
  <c r="U139" i="4"/>
  <c r="T139" i="4"/>
  <c r="S139" i="4"/>
  <c r="R139" i="4"/>
  <c r="Q139" i="4"/>
  <c r="P139" i="4"/>
  <c r="U138" i="4"/>
  <c r="T138" i="4"/>
  <c r="S138" i="4"/>
  <c r="R138" i="4"/>
  <c r="Q138" i="4"/>
  <c r="P138" i="4"/>
  <c r="U137" i="4"/>
  <c r="T137" i="4"/>
  <c r="S137" i="4"/>
  <c r="R137" i="4"/>
  <c r="Q137" i="4"/>
  <c r="P137" i="4"/>
  <c r="U136" i="4"/>
  <c r="T136" i="4"/>
  <c r="S136" i="4"/>
  <c r="R136" i="4"/>
  <c r="Q136" i="4"/>
  <c r="P136" i="4"/>
  <c r="U135" i="4"/>
  <c r="T135" i="4"/>
  <c r="S135" i="4"/>
  <c r="R135" i="4"/>
  <c r="Q135" i="4"/>
  <c r="P135" i="4"/>
  <c r="U134" i="4"/>
  <c r="T134" i="4"/>
  <c r="S134" i="4"/>
  <c r="R134" i="4"/>
  <c r="Q134" i="4"/>
  <c r="P134" i="4"/>
  <c r="U133" i="4"/>
  <c r="T133" i="4"/>
  <c r="S133" i="4"/>
  <c r="R133" i="4"/>
  <c r="Q133" i="4"/>
  <c r="P133" i="4"/>
  <c r="U132" i="4"/>
  <c r="T132" i="4"/>
  <c r="S132" i="4"/>
  <c r="R132" i="4"/>
  <c r="Q132" i="4"/>
  <c r="P132" i="4"/>
  <c r="U131" i="4"/>
  <c r="T131" i="4"/>
  <c r="S131" i="4"/>
  <c r="R131" i="4"/>
  <c r="Q131" i="4"/>
  <c r="P131" i="4"/>
  <c r="U130" i="4"/>
  <c r="T130" i="4"/>
  <c r="S130" i="4"/>
  <c r="R130" i="4"/>
  <c r="Q130" i="4"/>
  <c r="P130" i="4"/>
  <c r="U129" i="4"/>
  <c r="T129" i="4"/>
  <c r="S129" i="4"/>
  <c r="R129" i="4"/>
  <c r="Q129" i="4"/>
  <c r="P129" i="4"/>
  <c r="U128" i="4"/>
  <c r="T128" i="4"/>
  <c r="S128" i="4"/>
  <c r="R128" i="4"/>
  <c r="Q128" i="4"/>
  <c r="P128" i="4"/>
  <c r="U127" i="4"/>
  <c r="T127" i="4"/>
  <c r="S127" i="4"/>
  <c r="R127" i="4"/>
  <c r="Q127" i="4"/>
  <c r="P127" i="4"/>
  <c r="U126" i="4"/>
  <c r="T126" i="4"/>
  <c r="S126" i="4"/>
  <c r="R126" i="4"/>
  <c r="Q126" i="4"/>
  <c r="P126" i="4"/>
  <c r="U125" i="4"/>
  <c r="T125" i="4"/>
  <c r="S125" i="4"/>
  <c r="R125" i="4"/>
  <c r="Q125" i="4"/>
  <c r="P125" i="4"/>
  <c r="U124" i="4"/>
  <c r="T124" i="4"/>
  <c r="S124" i="4"/>
  <c r="R124" i="4"/>
  <c r="Q124" i="4"/>
  <c r="P124" i="4"/>
  <c r="U123" i="4"/>
  <c r="T123" i="4"/>
  <c r="S123" i="4"/>
  <c r="R123" i="4"/>
  <c r="Q123" i="4"/>
  <c r="P123" i="4"/>
  <c r="U122" i="4"/>
  <c r="T122" i="4"/>
  <c r="S122" i="4"/>
  <c r="R122" i="4"/>
  <c r="Q122" i="4"/>
  <c r="P122" i="4"/>
  <c r="U121" i="4"/>
  <c r="T121" i="4"/>
  <c r="S121" i="4"/>
  <c r="R121" i="4"/>
  <c r="Q121" i="4"/>
  <c r="P121" i="4"/>
  <c r="U120" i="4"/>
  <c r="T120" i="4"/>
  <c r="S120" i="4"/>
  <c r="R120" i="4"/>
  <c r="Q120" i="4"/>
  <c r="P120" i="4"/>
  <c r="U119" i="4"/>
  <c r="T119" i="4"/>
  <c r="S119" i="4"/>
  <c r="R119" i="4"/>
  <c r="Q119" i="4"/>
  <c r="P119" i="4"/>
  <c r="U118" i="4"/>
  <c r="T118" i="4"/>
  <c r="S118" i="4"/>
  <c r="R118" i="4"/>
  <c r="Q118" i="4"/>
  <c r="P118" i="4"/>
  <c r="U117" i="4"/>
  <c r="T117" i="4"/>
  <c r="S117" i="4"/>
  <c r="R117" i="4"/>
  <c r="Q117" i="4"/>
  <c r="P117" i="4"/>
  <c r="U116" i="4"/>
  <c r="T116" i="4"/>
  <c r="S116" i="4"/>
  <c r="R116" i="4"/>
  <c r="Q116" i="4"/>
  <c r="P116" i="4"/>
  <c r="U115" i="4"/>
  <c r="T115" i="4"/>
  <c r="S115" i="4"/>
  <c r="R115" i="4"/>
  <c r="Q115" i="4"/>
  <c r="P115" i="4"/>
  <c r="U114" i="4"/>
  <c r="T114" i="4"/>
  <c r="S114" i="4"/>
  <c r="R114" i="4"/>
  <c r="Q114" i="4"/>
  <c r="P114" i="4"/>
  <c r="U113" i="4"/>
  <c r="T113" i="4"/>
  <c r="S113" i="4"/>
  <c r="R113" i="4"/>
  <c r="Q113" i="4"/>
  <c r="P113" i="4"/>
  <c r="U112" i="4"/>
  <c r="T112" i="4"/>
  <c r="S112" i="4"/>
  <c r="R112" i="4"/>
  <c r="Q112" i="4"/>
  <c r="P112" i="4"/>
  <c r="U111" i="4"/>
  <c r="T111" i="4"/>
  <c r="S111" i="4"/>
  <c r="R111" i="4"/>
  <c r="Q111" i="4"/>
  <c r="P111" i="4"/>
  <c r="U110" i="4"/>
  <c r="T110" i="4"/>
  <c r="S110" i="4"/>
  <c r="R110" i="4"/>
  <c r="Q110" i="4"/>
  <c r="P110" i="4"/>
  <c r="U109" i="4"/>
  <c r="T109" i="4"/>
  <c r="S109" i="4"/>
  <c r="R109" i="4"/>
  <c r="Q109" i="4"/>
  <c r="P109" i="4"/>
  <c r="U108" i="4"/>
  <c r="T108" i="4"/>
  <c r="S108" i="4"/>
  <c r="R108" i="4"/>
  <c r="Q108" i="4"/>
  <c r="P108" i="4"/>
  <c r="U107" i="4"/>
  <c r="T107" i="4"/>
  <c r="S107" i="4"/>
  <c r="R107" i="4"/>
  <c r="Q107" i="4"/>
  <c r="P107" i="4"/>
  <c r="U106" i="4"/>
  <c r="T106" i="4"/>
  <c r="S106" i="4"/>
  <c r="R106" i="4"/>
  <c r="Q106" i="4"/>
  <c r="P106" i="4"/>
  <c r="U105" i="4"/>
  <c r="T105" i="4"/>
  <c r="S105" i="4"/>
  <c r="R105" i="4"/>
  <c r="Q105" i="4"/>
  <c r="P105" i="4"/>
  <c r="U104" i="4"/>
  <c r="T104" i="4"/>
  <c r="S104" i="4"/>
  <c r="R104" i="4"/>
  <c r="Q104" i="4"/>
  <c r="P104" i="4"/>
  <c r="U103" i="4"/>
  <c r="T103" i="4"/>
  <c r="S103" i="4"/>
  <c r="R103" i="4"/>
  <c r="Q103" i="4"/>
  <c r="P103" i="4"/>
  <c r="U102" i="4"/>
  <c r="T102" i="4"/>
  <c r="S102" i="4"/>
  <c r="R102" i="4"/>
  <c r="Q102" i="4"/>
  <c r="P102" i="4"/>
  <c r="U101" i="4"/>
  <c r="T101" i="4"/>
  <c r="S101" i="4"/>
  <c r="R101" i="4"/>
  <c r="Q101" i="4"/>
  <c r="P101" i="4"/>
  <c r="U100" i="4"/>
  <c r="T100" i="4"/>
  <c r="S100" i="4"/>
  <c r="R100" i="4"/>
  <c r="Q100" i="4"/>
  <c r="P100" i="4"/>
  <c r="U99" i="4"/>
  <c r="T99" i="4"/>
  <c r="S99" i="4"/>
  <c r="R99" i="4"/>
  <c r="Q99" i="4"/>
  <c r="P99" i="4"/>
  <c r="U98" i="4"/>
  <c r="T98" i="4"/>
  <c r="S98" i="4"/>
  <c r="R98" i="4"/>
  <c r="Q98" i="4"/>
  <c r="P98" i="4"/>
  <c r="U97" i="4"/>
  <c r="T97" i="4"/>
  <c r="S97" i="4"/>
  <c r="R97" i="4"/>
  <c r="Q97" i="4"/>
  <c r="P97" i="4"/>
  <c r="U96" i="4"/>
  <c r="T96" i="4"/>
  <c r="S96" i="4"/>
  <c r="R96" i="4"/>
  <c r="Q96" i="4"/>
  <c r="P96" i="4"/>
  <c r="U95" i="4"/>
  <c r="T95" i="4"/>
  <c r="S95" i="4"/>
  <c r="R95" i="4"/>
  <c r="Q95" i="4"/>
  <c r="P95" i="4"/>
  <c r="U94" i="4"/>
  <c r="T94" i="4"/>
  <c r="S94" i="4"/>
  <c r="R94" i="4"/>
  <c r="Q94" i="4"/>
  <c r="P94" i="4"/>
  <c r="U93" i="4"/>
  <c r="T93" i="4"/>
  <c r="S93" i="4"/>
  <c r="R93" i="4"/>
  <c r="Q93" i="4"/>
  <c r="P93" i="4"/>
  <c r="U92" i="4"/>
  <c r="T92" i="4"/>
  <c r="S92" i="4"/>
  <c r="R92" i="4"/>
  <c r="Q92" i="4"/>
  <c r="P92" i="4"/>
  <c r="U91" i="4"/>
  <c r="T91" i="4"/>
  <c r="S91" i="4"/>
  <c r="R91" i="4"/>
  <c r="Q91" i="4"/>
  <c r="P91" i="4"/>
  <c r="U90" i="4"/>
  <c r="T90" i="4"/>
  <c r="S90" i="4"/>
  <c r="R90" i="4"/>
  <c r="Q90" i="4"/>
  <c r="P90" i="4"/>
  <c r="U89" i="4"/>
  <c r="T89" i="4"/>
  <c r="S89" i="4"/>
  <c r="R89" i="4"/>
  <c r="Q89" i="4"/>
  <c r="P89" i="4"/>
  <c r="U88" i="4"/>
  <c r="T88" i="4"/>
  <c r="S88" i="4"/>
  <c r="R88" i="4"/>
  <c r="Q88" i="4"/>
  <c r="P88" i="4"/>
  <c r="U87" i="4"/>
  <c r="T87" i="4"/>
  <c r="S87" i="4"/>
  <c r="R87" i="4"/>
  <c r="Q87" i="4"/>
  <c r="P87" i="4"/>
  <c r="U86" i="4"/>
  <c r="T86" i="4"/>
  <c r="S86" i="4"/>
  <c r="R86" i="4"/>
  <c r="Q86" i="4"/>
  <c r="P86" i="4"/>
  <c r="U85" i="4"/>
  <c r="T85" i="4"/>
  <c r="S85" i="4"/>
  <c r="R85" i="4"/>
  <c r="Q85" i="4"/>
  <c r="P85" i="4"/>
  <c r="U84" i="4"/>
  <c r="T84" i="4"/>
  <c r="S84" i="4"/>
  <c r="R84" i="4"/>
  <c r="Q84" i="4"/>
  <c r="P84" i="4"/>
  <c r="U83" i="4"/>
  <c r="T83" i="4"/>
  <c r="S83" i="4"/>
  <c r="R83" i="4"/>
  <c r="Q83" i="4"/>
  <c r="P83" i="4"/>
  <c r="U82" i="4"/>
  <c r="T82" i="4"/>
  <c r="S82" i="4"/>
  <c r="R82" i="4"/>
  <c r="Q82" i="4"/>
  <c r="P82" i="4"/>
  <c r="U81" i="4"/>
  <c r="T81" i="4"/>
  <c r="S81" i="4"/>
  <c r="R81" i="4"/>
  <c r="Q81" i="4"/>
  <c r="P81" i="4"/>
  <c r="U80" i="4"/>
  <c r="T80" i="4"/>
  <c r="S80" i="4"/>
  <c r="R80" i="4"/>
  <c r="Q80" i="4"/>
  <c r="P80" i="4"/>
  <c r="U79" i="4"/>
  <c r="T79" i="4"/>
  <c r="S79" i="4"/>
  <c r="R79" i="4"/>
  <c r="Q79" i="4"/>
  <c r="P79" i="4"/>
  <c r="U78" i="4"/>
  <c r="T78" i="4"/>
  <c r="S78" i="4"/>
  <c r="R78" i="4"/>
  <c r="Q78" i="4"/>
  <c r="P78" i="4"/>
  <c r="U77" i="4"/>
  <c r="T77" i="4"/>
  <c r="S77" i="4"/>
  <c r="R77" i="4"/>
  <c r="Q77" i="4"/>
  <c r="P77" i="4"/>
  <c r="U76" i="4"/>
  <c r="T76" i="4"/>
  <c r="S76" i="4"/>
  <c r="R76" i="4"/>
  <c r="Q76" i="4"/>
  <c r="P76" i="4"/>
  <c r="U75" i="4"/>
  <c r="T75" i="4"/>
  <c r="S75" i="4"/>
  <c r="R75" i="4"/>
  <c r="Q75" i="4"/>
  <c r="P75" i="4"/>
  <c r="U74" i="4"/>
  <c r="T74" i="4"/>
  <c r="S74" i="4"/>
  <c r="R74" i="4"/>
  <c r="Q74" i="4"/>
  <c r="P74" i="4"/>
  <c r="U73" i="4"/>
  <c r="T73" i="4"/>
  <c r="S73" i="4"/>
  <c r="R73" i="4"/>
  <c r="Q73" i="4"/>
  <c r="P73" i="4"/>
  <c r="U72" i="4"/>
  <c r="T72" i="4"/>
  <c r="S72" i="4"/>
  <c r="R72" i="4"/>
  <c r="Q72" i="4"/>
  <c r="P72" i="4"/>
  <c r="U71" i="4"/>
  <c r="T71" i="4"/>
  <c r="S71" i="4"/>
  <c r="R71" i="4"/>
  <c r="Q71" i="4"/>
  <c r="P71" i="4"/>
  <c r="U70" i="4"/>
  <c r="T70" i="4"/>
  <c r="S70" i="4"/>
  <c r="R70" i="4"/>
  <c r="Q70" i="4"/>
  <c r="P70" i="4"/>
  <c r="U69" i="4"/>
  <c r="T69" i="4"/>
  <c r="S69" i="4"/>
  <c r="R69" i="4"/>
  <c r="Q69" i="4"/>
  <c r="P69" i="4"/>
  <c r="U68" i="4"/>
  <c r="T68" i="4"/>
  <c r="S68" i="4"/>
  <c r="R68" i="4"/>
  <c r="Q68" i="4"/>
  <c r="P68" i="4"/>
  <c r="U67" i="4"/>
  <c r="T67" i="4"/>
  <c r="S67" i="4"/>
  <c r="R67" i="4"/>
  <c r="Q67" i="4"/>
  <c r="P67" i="4"/>
  <c r="U66" i="4"/>
  <c r="T66" i="4"/>
  <c r="S66" i="4"/>
  <c r="R66" i="4"/>
  <c r="Q66" i="4"/>
  <c r="P66" i="4"/>
  <c r="U65" i="4"/>
  <c r="T65" i="4"/>
  <c r="S65" i="4"/>
  <c r="R65" i="4"/>
  <c r="Q65" i="4"/>
  <c r="P65" i="4"/>
  <c r="U64" i="4"/>
  <c r="T64" i="4"/>
  <c r="S64" i="4"/>
  <c r="R64" i="4"/>
  <c r="Q64" i="4"/>
  <c r="P64" i="4"/>
  <c r="U63" i="4"/>
  <c r="T63" i="4"/>
  <c r="S63" i="4"/>
  <c r="R63" i="4"/>
  <c r="Q63" i="4"/>
  <c r="P63" i="4"/>
  <c r="U62" i="4"/>
  <c r="T62" i="4"/>
  <c r="S62" i="4"/>
  <c r="R62" i="4"/>
  <c r="Q62" i="4"/>
  <c r="P62" i="4"/>
  <c r="U61" i="4"/>
  <c r="T61" i="4"/>
  <c r="S61" i="4"/>
  <c r="R61" i="4"/>
  <c r="Q61" i="4"/>
  <c r="P61" i="4"/>
  <c r="U60" i="4"/>
  <c r="T60" i="4"/>
  <c r="S60" i="4"/>
  <c r="R60" i="4"/>
  <c r="Q60" i="4"/>
  <c r="P60" i="4"/>
  <c r="U59" i="4"/>
  <c r="T59" i="4"/>
  <c r="S59" i="4"/>
  <c r="R59" i="4"/>
  <c r="Q59" i="4"/>
  <c r="P59" i="4"/>
  <c r="U58" i="4"/>
  <c r="T58" i="4"/>
  <c r="S58" i="4"/>
  <c r="R58" i="4"/>
  <c r="Q58" i="4"/>
  <c r="P58" i="4"/>
  <c r="U57" i="4"/>
  <c r="T57" i="4"/>
  <c r="S57" i="4"/>
  <c r="R57" i="4"/>
  <c r="Q57" i="4"/>
  <c r="P57" i="4"/>
  <c r="U56" i="4"/>
  <c r="T56" i="4"/>
  <c r="S56" i="4"/>
  <c r="R56" i="4"/>
  <c r="Q56" i="4"/>
  <c r="P56" i="4"/>
  <c r="U55" i="4"/>
  <c r="T55" i="4"/>
  <c r="S55" i="4"/>
  <c r="R55" i="4"/>
  <c r="Q55" i="4"/>
  <c r="P55" i="4"/>
  <c r="U54" i="4"/>
  <c r="T54" i="4"/>
  <c r="S54" i="4"/>
  <c r="R54" i="4"/>
  <c r="Q54" i="4"/>
  <c r="P54" i="4"/>
  <c r="U53" i="4"/>
  <c r="T53" i="4"/>
  <c r="S53" i="4"/>
  <c r="R53" i="4"/>
  <c r="Q53" i="4"/>
  <c r="P53" i="4"/>
  <c r="U52" i="4"/>
  <c r="T52" i="4"/>
  <c r="S52" i="4"/>
  <c r="R52" i="4"/>
  <c r="Q52" i="4"/>
  <c r="P52" i="4"/>
  <c r="U51" i="4"/>
  <c r="T51" i="4"/>
  <c r="S51" i="4"/>
  <c r="R51" i="4"/>
  <c r="Q51" i="4"/>
  <c r="P51" i="4"/>
  <c r="U50" i="4"/>
  <c r="T50" i="4"/>
  <c r="S50" i="4"/>
  <c r="R50" i="4"/>
  <c r="Q50" i="4"/>
  <c r="P50" i="4"/>
  <c r="U49" i="4"/>
  <c r="T49" i="4"/>
  <c r="S49" i="4"/>
  <c r="R49" i="4"/>
  <c r="Q49" i="4"/>
  <c r="P49" i="4"/>
  <c r="U48" i="4"/>
  <c r="T48" i="4"/>
  <c r="S48" i="4"/>
  <c r="R48" i="4"/>
  <c r="Q48" i="4"/>
  <c r="P48" i="4"/>
  <c r="U47" i="4"/>
  <c r="T47" i="4"/>
  <c r="S47" i="4"/>
  <c r="R47" i="4"/>
  <c r="Q47" i="4"/>
  <c r="P47" i="4"/>
  <c r="U46" i="4"/>
  <c r="T46" i="4"/>
  <c r="S46" i="4"/>
  <c r="R46" i="4"/>
  <c r="Q46" i="4"/>
  <c r="P46" i="4"/>
  <c r="U45" i="4"/>
  <c r="T45" i="4"/>
  <c r="S45" i="4"/>
  <c r="R45" i="4"/>
  <c r="Q45" i="4"/>
  <c r="P45" i="4"/>
  <c r="U44" i="4"/>
  <c r="T44" i="4"/>
  <c r="S44" i="4"/>
  <c r="R44" i="4"/>
  <c r="Q44" i="4"/>
  <c r="P44" i="4"/>
  <c r="U43" i="4"/>
  <c r="T43" i="4"/>
  <c r="S43" i="4"/>
  <c r="R43" i="4"/>
  <c r="Q43" i="4"/>
  <c r="P43" i="4"/>
  <c r="U42" i="4"/>
  <c r="T42" i="4"/>
  <c r="S42" i="4"/>
  <c r="R42" i="4"/>
  <c r="Q42" i="4"/>
  <c r="P42" i="4"/>
  <c r="U41" i="4"/>
  <c r="T41" i="4"/>
  <c r="S41" i="4"/>
  <c r="R41" i="4"/>
  <c r="Q41" i="4"/>
  <c r="P41" i="4"/>
  <c r="U40" i="4"/>
  <c r="T40" i="4"/>
  <c r="S40" i="4"/>
  <c r="R40" i="4"/>
  <c r="Q40" i="4"/>
  <c r="P40" i="4"/>
  <c r="U39" i="4"/>
  <c r="T39" i="4"/>
  <c r="S39" i="4"/>
  <c r="R39" i="4"/>
  <c r="Q39" i="4"/>
  <c r="P39" i="4"/>
  <c r="U38" i="4"/>
  <c r="T38" i="4"/>
  <c r="S38" i="4"/>
  <c r="R38" i="4"/>
  <c r="Q38" i="4"/>
  <c r="P38" i="4"/>
  <c r="U37" i="4"/>
  <c r="T37" i="4"/>
  <c r="S37" i="4"/>
  <c r="R37" i="4"/>
  <c r="Q37" i="4"/>
  <c r="P37" i="4"/>
  <c r="U36" i="4"/>
  <c r="T36" i="4"/>
  <c r="S36" i="4"/>
  <c r="R36" i="4"/>
  <c r="Q36" i="4"/>
  <c r="P36" i="4"/>
  <c r="U35" i="4"/>
  <c r="T35" i="4"/>
  <c r="S35" i="4"/>
  <c r="R35" i="4"/>
  <c r="Q35" i="4"/>
  <c r="P35" i="4"/>
  <c r="U34" i="4"/>
  <c r="T34" i="4"/>
  <c r="S34" i="4"/>
  <c r="R34" i="4"/>
  <c r="Q34" i="4"/>
  <c r="P34" i="4"/>
  <c r="U33" i="4"/>
  <c r="T33" i="4"/>
  <c r="S33" i="4"/>
  <c r="R33" i="4"/>
  <c r="Q33" i="4"/>
  <c r="P33" i="4"/>
  <c r="U32" i="4"/>
  <c r="T32" i="4"/>
  <c r="S32" i="4"/>
  <c r="R32" i="4"/>
  <c r="Q32" i="4"/>
  <c r="P32" i="4"/>
  <c r="U31" i="4"/>
  <c r="T31" i="4"/>
  <c r="S31" i="4"/>
  <c r="R31" i="4"/>
  <c r="Q31" i="4"/>
  <c r="P31" i="4"/>
  <c r="U30" i="4"/>
  <c r="T30" i="4"/>
  <c r="S30" i="4"/>
  <c r="R30" i="4"/>
  <c r="Q30" i="4"/>
  <c r="P30" i="4"/>
  <c r="U29" i="4"/>
  <c r="T29" i="4"/>
  <c r="S29" i="4"/>
  <c r="R29" i="4"/>
  <c r="Q29" i="4"/>
  <c r="P29" i="4"/>
  <c r="U28" i="4"/>
  <c r="T28" i="4"/>
  <c r="S28" i="4"/>
  <c r="R28" i="4"/>
  <c r="Q28" i="4"/>
  <c r="P28" i="4"/>
  <c r="U27" i="4"/>
  <c r="T27" i="4"/>
  <c r="S27" i="4"/>
  <c r="R27" i="4"/>
  <c r="Q27" i="4"/>
  <c r="P27" i="4"/>
  <c r="U26" i="4"/>
  <c r="T26" i="4"/>
  <c r="S26" i="4"/>
  <c r="R26" i="4"/>
  <c r="Q26" i="4"/>
  <c r="P26" i="4"/>
  <c r="U25" i="4"/>
  <c r="T25" i="4"/>
  <c r="S25" i="4"/>
  <c r="R25" i="4"/>
  <c r="Q25" i="4"/>
  <c r="P25" i="4"/>
  <c r="U24" i="4"/>
  <c r="T24" i="4"/>
  <c r="S24" i="4"/>
  <c r="R24" i="4"/>
  <c r="Q24" i="4"/>
  <c r="P24" i="4"/>
  <c r="U23" i="4"/>
  <c r="T23" i="4"/>
  <c r="S23" i="4"/>
  <c r="R23" i="4"/>
  <c r="Q23" i="4"/>
  <c r="P23" i="4"/>
  <c r="U22" i="4"/>
  <c r="T22" i="4"/>
  <c r="S22" i="4"/>
  <c r="R22" i="4"/>
  <c r="Q22" i="4"/>
  <c r="P22" i="4"/>
  <c r="U21" i="4"/>
  <c r="T21" i="4"/>
  <c r="S21" i="4"/>
  <c r="R21" i="4"/>
  <c r="Q21" i="4"/>
  <c r="P21" i="4"/>
  <c r="U20" i="4"/>
  <c r="T20" i="4"/>
  <c r="S20" i="4"/>
  <c r="R20" i="4"/>
  <c r="Q20" i="4"/>
  <c r="P20" i="4"/>
  <c r="U19" i="4"/>
  <c r="T19" i="4"/>
  <c r="S19" i="4"/>
  <c r="R19" i="4"/>
  <c r="Q19" i="4"/>
  <c r="P19" i="4"/>
  <c r="U18" i="4"/>
  <c r="T18" i="4"/>
  <c r="S18" i="4"/>
  <c r="R18" i="4"/>
  <c r="Q18" i="4"/>
  <c r="P18" i="4"/>
  <c r="U17" i="4"/>
  <c r="T17" i="4"/>
  <c r="S17" i="4"/>
  <c r="R17" i="4"/>
  <c r="Q17" i="4"/>
  <c r="P17" i="4"/>
  <c r="U16" i="4"/>
  <c r="T16" i="4"/>
  <c r="S16" i="4"/>
  <c r="R16" i="4"/>
  <c r="Q16" i="4"/>
  <c r="P16" i="4"/>
  <c r="U15" i="4"/>
  <c r="T15" i="4"/>
  <c r="S15" i="4"/>
  <c r="R15" i="4"/>
  <c r="Q15" i="4"/>
  <c r="P15" i="4"/>
  <c r="U14" i="4"/>
  <c r="T14" i="4"/>
  <c r="S14" i="4"/>
  <c r="R14" i="4"/>
  <c r="Q14" i="4"/>
  <c r="P14" i="4"/>
  <c r="U13" i="4"/>
  <c r="T13" i="4"/>
  <c r="S13" i="4"/>
  <c r="R13" i="4"/>
  <c r="Q13" i="4"/>
  <c r="P13" i="4"/>
  <c r="U12" i="4"/>
  <c r="T12" i="4"/>
  <c r="S12" i="4"/>
  <c r="R12" i="4"/>
  <c r="Q12" i="4"/>
  <c r="P12" i="4"/>
  <c r="U11" i="4"/>
  <c r="T11" i="4"/>
  <c r="S11" i="4"/>
  <c r="R11" i="4"/>
  <c r="Q11" i="4"/>
  <c r="P11" i="4"/>
  <c r="U10" i="4"/>
  <c r="T10" i="4"/>
  <c r="S10" i="4"/>
  <c r="R10" i="4"/>
  <c r="Q10" i="4"/>
  <c r="P10" i="4"/>
  <c r="U9" i="4"/>
  <c r="T9" i="4"/>
  <c r="S9" i="4"/>
  <c r="R9" i="4"/>
  <c r="Q9" i="4"/>
  <c r="P9" i="4"/>
  <c r="U8" i="4"/>
  <c r="T8" i="4"/>
  <c r="S8" i="4"/>
  <c r="R8" i="4"/>
  <c r="Q8" i="4"/>
  <c r="P8" i="4"/>
  <c r="U7" i="4"/>
  <c r="T7" i="4"/>
  <c r="S7" i="4"/>
  <c r="R7" i="4"/>
  <c r="Q7" i="4"/>
  <c r="P7" i="4"/>
  <c r="U6" i="4"/>
  <c r="T6" i="4"/>
  <c r="S6" i="4"/>
  <c r="R6" i="4"/>
  <c r="Q6" i="4"/>
  <c r="P6" i="4"/>
  <c r="U5" i="4"/>
  <c r="T5" i="4"/>
  <c r="S5" i="4"/>
  <c r="R5" i="4"/>
  <c r="Q5" i="4"/>
  <c r="P5" i="4"/>
  <c r="U4" i="4"/>
  <c r="T4" i="4"/>
  <c r="S4" i="4"/>
  <c r="R4" i="4"/>
  <c r="Q4" i="4"/>
  <c r="P4" i="4"/>
  <c r="U3" i="4"/>
  <c r="T3" i="4"/>
  <c r="S3" i="4"/>
  <c r="R3" i="4"/>
  <c r="Q3" i="4"/>
  <c r="P3" i="4"/>
  <c r="U2" i="4"/>
  <c r="B19" i="6" s="1"/>
  <c r="T2" i="4"/>
  <c r="B18" i="6" s="1"/>
  <c r="D18" i="6" s="1"/>
  <c r="S2" i="4"/>
  <c r="B17" i="6" s="1"/>
  <c r="D17" i="6" s="1"/>
  <c r="R2" i="4"/>
  <c r="Q2" i="4"/>
  <c r="P2" i="4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3" i="3"/>
  <c r="B2" i="3"/>
  <c r="B2" i="1"/>
  <c r="F7" i="1" l="1"/>
  <c r="J7" i="1"/>
  <c r="B10" i="1"/>
  <c r="B7" i="1"/>
  <c r="N7" i="1"/>
  <c r="F10" i="1"/>
  <c r="J10" i="1"/>
  <c r="F13" i="1"/>
  <c r="N10" i="1"/>
  <c r="B13" i="1"/>
  <c r="J13" i="1"/>
  <c r="B11" i="3"/>
  <c r="E10" i="3"/>
  <c r="C10" i="3"/>
  <c r="E9" i="3"/>
  <c r="B9" i="3"/>
  <c r="E8" i="3"/>
  <c r="C8" i="3"/>
  <c r="B8" i="3"/>
  <c r="N13" i="1"/>
  <c r="C12" i="3"/>
  <c r="E12" i="3"/>
  <c r="C9" i="3"/>
  <c r="B10" i="3"/>
  <c r="F10" i="3" s="1"/>
  <c r="C11" i="3"/>
  <c r="E11" i="3"/>
  <c r="B12" i="3"/>
  <c r="F12" i="3" s="1"/>
  <c r="C29" i="3"/>
  <c r="C28" i="3"/>
  <c r="B22" i="3"/>
  <c r="B21" i="3"/>
  <c r="B20" i="3"/>
  <c r="E19" i="3"/>
  <c r="C18" i="3"/>
  <c r="C125" i="3"/>
  <c r="B125" i="3"/>
  <c r="D125" i="3" s="1"/>
  <c r="E125" i="3" s="1"/>
  <c r="C124" i="3"/>
  <c r="B124" i="3"/>
  <c r="D124" i="3" s="1"/>
  <c r="E124" i="3" s="1"/>
  <c r="C123" i="3"/>
  <c r="B123" i="3"/>
  <c r="D123" i="3" s="1"/>
  <c r="E123" i="3" s="1"/>
  <c r="C122" i="3"/>
  <c r="B122" i="3"/>
  <c r="D122" i="3" s="1"/>
  <c r="E122" i="3" s="1"/>
  <c r="C121" i="3"/>
  <c r="B121" i="3"/>
  <c r="D121" i="3" s="1"/>
  <c r="E121" i="3" s="1"/>
  <c r="C120" i="3"/>
  <c r="B120" i="3"/>
  <c r="D120" i="3" s="1"/>
  <c r="E120" i="3" s="1"/>
  <c r="C119" i="3"/>
  <c r="B119" i="3"/>
  <c r="D119" i="3" s="1"/>
  <c r="E119" i="3" s="1"/>
  <c r="C118" i="3"/>
  <c r="B118" i="3"/>
  <c r="D118" i="3" s="1"/>
  <c r="E118" i="3" s="1"/>
  <c r="C117" i="3"/>
  <c r="B117" i="3"/>
  <c r="D117" i="3" s="1"/>
  <c r="E117" i="3" s="1"/>
  <c r="C116" i="3"/>
  <c r="B116" i="3"/>
  <c r="D116" i="3" s="1"/>
  <c r="E116" i="3" s="1"/>
  <c r="C115" i="3"/>
  <c r="B115" i="3"/>
  <c r="D115" i="3" s="1"/>
  <c r="E115" i="3" s="1"/>
  <c r="C114" i="3"/>
  <c r="B114" i="3"/>
  <c r="D114" i="3" s="1"/>
  <c r="E114" i="3" s="1"/>
  <c r="C113" i="3"/>
  <c r="B113" i="3"/>
  <c r="D113" i="3" s="1"/>
  <c r="E113" i="3" s="1"/>
  <c r="C112" i="3"/>
  <c r="B112" i="3"/>
  <c r="D112" i="3" s="1"/>
  <c r="E112" i="3" s="1"/>
  <c r="C111" i="3"/>
  <c r="B111" i="3"/>
  <c r="D111" i="3" s="1"/>
  <c r="E111" i="3" s="1"/>
  <c r="C110" i="3"/>
  <c r="B110" i="3"/>
  <c r="D110" i="3" s="1"/>
  <c r="E110" i="3" s="1"/>
  <c r="C109" i="3"/>
  <c r="B109" i="3"/>
  <c r="D109" i="3" s="1"/>
  <c r="E109" i="3" s="1"/>
  <c r="C108" i="3"/>
  <c r="B108" i="3"/>
  <c r="D108" i="3" s="1"/>
  <c r="E108" i="3" s="1"/>
  <c r="C107" i="3"/>
  <c r="B107" i="3"/>
  <c r="D107" i="3" s="1"/>
  <c r="E107" i="3" s="1"/>
  <c r="C106" i="3"/>
  <c r="B106" i="3"/>
  <c r="D106" i="3" s="1"/>
  <c r="E106" i="3" s="1"/>
  <c r="C105" i="3"/>
  <c r="B105" i="3"/>
  <c r="D105" i="3" s="1"/>
  <c r="E105" i="3" s="1"/>
  <c r="C104" i="3"/>
  <c r="B104" i="3"/>
  <c r="D104" i="3" s="1"/>
  <c r="E104" i="3" s="1"/>
  <c r="C103" i="3"/>
  <c r="B103" i="3"/>
  <c r="D103" i="3" s="1"/>
  <c r="E103" i="3" s="1"/>
  <c r="C102" i="3"/>
  <c r="B102" i="3"/>
  <c r="D102" i="3" s="1"/>
  <c r="E102" i="3" s="1"/>
  <c r="C101" i="3"/>
  <c r="C126" i="3" s="1"/>
  <c r="B101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D85" i="3"/>
  <c r="C85" i="3"/>
  <c r="E84" i="3"/>
  <c r="D84" i="3"/>
  <c r="C84" i="3"/>
  <c r="E83" i="3"/>
  <c r="C83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D73" i="3"/>
  <c r="E71" i="3"/>
  <c r="D71" i="3"/>
  <c r="C71" i="3"/>
  <c r="E70" i="3"/>
  <c r="D70" i="3"/>
  <c r="C70" i="3"/>
  <c r="E64" i="3"/>
  <c r="C64" i="3"/>
  <c r="E63" i="3"/>
  <c r="E65" i="3" s="1"/>
  <c r="C63" i="3"/>
  <c r="C65" i="3" s="1"/>
  <c r="B63" i="3"/>
  <c r="E57" i="3"/>
  <c r="C57" i="3"/>
  <c r="C56" i="3"/>
  <c r="B56" i="3"/>
  <c r="E55" i="3"/>
  <c r="C55" i="3"/>
  <c r="E49" i="3"/>
  <c r="E85" i="3"/>
  <c r="B49" i="3"/>
  <c r="F49" i="3" s="1"/>
  <c r="E48" i="3"/>
  <c r="C48" i="3"/>
  <c r="E47" i="3"/>
  <c r="C47" i="3"/>
  <c r="E46" i="3"/>
  <c r="E50" i="3" s="1"/>
  <c r="C46" i="3"/>
  <c r="E40" i="3"/>
  <c r="B40" i="3"/>
  <c r="F40" i="3" s="1"/>
  <c r="E39" i="3"/>
  <c r="C39" i="3"/>
  <c r="E38" i="3"/>
  <c r="B38" i="3"/>
  <c r="F38" i="3" s="1"/>
  <c r="E37" i="3"/>
  <c r="E41" i="3" s="1"/>
  <c r="C37" i="3"/>
  <c r="E31" i="3"/>
  <c r="C31" i="3"/>
  <c r="E30" i="3"/>
  <c r="C30" i="3"/>
  <c r="E29" i="3"/>
  <c r="B29" i="3"/>
  <c r="F29" i="3" s="1"/>
  <c r="E28" i="3"/>
  <c r="B28" i="3"/>
  <c r="E22" i="3"/>
  <c r="C22" i="3"/>
  <c r="E21" i="3"/>
  <c r="C21" i="3"/>
  <c r="C49" i="3"/>
  <c r="C20" i="3"/>
  <c r="C19" i="3"/>
  <c r="B19" i="3"/>
  <c r="F19" i="3" s="1"/>
  <c r="E18" i="3"/>
  <c r="B18" i="3"/>
  <c r="D83" i="3"/>
  <c r="E82" i="3"/>
  <c r="D82" i="3"/>
  <c r="C82" i="3"/>
  <c r="E73" i="3"/>
  <c r="C73" i="3"/>
  <c r="E72" i="3"/>
  <c r="D72" i="3"/>
  <c r="C72" i="3"/>
  <c r="B64" i="3"/>
  <c r="F64" i="3" s="1"/>
  <c r="B57" i="3"/>
  <c r="F57" i="3" s="1"/>
  <c r="E56" i="3"/>
  <c r="B55" i="3"/>
  <c r="B48" i="3"/>
  <c r="F48" i="3" s="1"/>
  <c r="B47" i="3"/>
  <c r="F47" i="3" s="1"/>
  <c r="B46" i="3"/>
  <c r="C40" i="3"/>
  <c r="B39" i="3"/>
  <c r="F39" i="3" s="1"/>
  <c r="C38" i="3"/>
  <c r="B37" i="3"/>
  <c r="B31" i="3"/>
  <c r="F31" i="3" s="1"/>
  <c r="B30" i="3"/>
  <c r="F30" i="3" s="1"/>
  <c r="E20" i="3"/>
  <c r="F8" i="3" l="1"/>
  <c r="B13" i="3"/>
  <c r="D101" i="3"/>
  <c r="B126" i="3"/>
  <c r="F63" i="3"/>
  <c r="B65" i="3"/>
  <c r="F28" i="3"/>
  <c r="B32" i="3"/>
  <c r="B23" i="3"/>
  <c r="F18" i="3"/>
  <c r="F55" i="3"/>
  <c r="B58" i="3"/>
  <c r="B50" i="3"/>
  <c r="F46" i="3"/>
  <c r="F37" i="3"/>
  <c r="B41" i="3"/>
  <c r="F11" i="3"/>
  <c r="E13" i="3"/>
  <c r="C95" i="3"/>
  <c r="D95" i="3"/>
  <c r="C50" i="3"/>
  <c r="F56" i="3"/>
  <c r="E58" i="3"/>
  <c r="C58" i="3"/>
  <c r="F22" i="3"/>
  <c r="F9" i="3"/>
  <c r="C13" i="3"/>
  <c r="C32" i="3"/>
  <c r="F21" i="3"/>
  <c r="C23" i="3"/>
  <c r="E95" i="3"/>
  <c r="C41" i="3"/>
  <c r="E32" i="3"/>
  <c r="F20" i="3"/>
  <c r="E23" i="3"/>
  <c r="D9" i="3" l="1"/>
  <c r="D11" i="3"/>
  <c r="F13" i="3"/>
  <c r="D8" i="3"/>
  <c r="D10" i="3"/>
  <c r="D12" i="3"/>
  <c r="E101" i="3"/>
  <c r="D126" i="3"/>
  <c r="E126" i="3" s="1"/>
  <c r="D63" i="3"/>
  <c r="F65" i="3"/>
  <c r="D64" i="3"/>
  <c r="D28" i="3"/>
  <c r="F32" i="3"/>
  <c r="D29" i="3"/>
  <c r="D30" i="3"/>
  <c r="D31" i="3"/>
  <c r="F23" i="3"/>
  <c r="D20" i="3"/>
  <c r="D21" i="3"/>
  <c r="D18" i="3"/>
  <c r="D19" i="3"/>
  <c r="D22" i="3"/>
  <c r="D55" i="3"/>
  <c r="D57" i="3"/>
  <c r="F58" i="3"/>
  <c r="D56" i="3"/>
  <c r="F50" i="3"/>
  <c r="D46" i="3"/>
  <c r="D47" i="3"/>
  <c r="D48" i="3"/>
  <c r="D49" i="3"/>
  <c r="F41" i="3"/>
  <c r="D37" i="3"/>
  <c r="D38" i="3"/>
  <c r="D39" i="3"/>
  <c r="D40" i="3"/>
  <c r="D65" i="3" l="1"/>
  <c r="D32" i="3"/>
  <c r="D23" i="3"/>
  <c r="D58" i="3"/>
  <c r="D50" i="3"/>
  <c r="D41" i="3"/>
  <c r="D13" i="3"/>
</calcChain>
</file>

<file path=xl/sharedStrings.xml><?xml version="1.0" encoding="utf-8"?>
<sst xmlns="http://schemas.openxmlformats.org/spreadsheetml/2006/main" count="5971" uniqueCount="1762">
  <si>
    <t>Indian Banking Transactions Dashboard</t>
  </si>
  <si>
    <t>Filter ▸ Region</t>
  </si>
  <si>
    <t>All</t>
  </si>
  <si>
    <t>Year</t>
  </si>
  <si>
    <t>Pick from the yellow drop-downs. Regional chart ignores Region; Monthly trend ignores Year.</t>
  </si>
  <si>
    <t>TOTAL TRANSACTIONS</t>
  </si>
  <si>
    <t>TOTAL VALUE (₹ CRORE)</t>
  </si>
  <si>
    <t>AVG TRANSACTION VALUE (₹)</t>
  </si>
  <si>
    <t>FRAUD RATE (FLAGGED)</t>
  </si>
  <si>
    <t>COMPLETED (% OF TXNS)</t>
  </si>
  <si>
    <t>PENDING (% OF TXNS)</t>
  </si>
  <si>
    <t>FAILED (% OF TXNS)</t>
  </si>
  <si>
    <t>REVERSED (% OF TXNS)</t>
  </si>
  <si>
    <t>DIGITAL (UPI + NET BANKING) % OF TXNS</t>
  </si>
  <si>
    <t>CARD-BASED % OF TXNS</t>
  </si>
  <si>
    <t>CASH-BASED % OF TXNS</t>
  </si>
  <si>
    <t>FREQUENT CUSTOMERS % OF TXNS</t>
  </si>
  <si>
    <t>Key Insights (snapshot of the full, unfiltered dataset)</t>
  </si>
  <si>
    <t>These are written findings; the Dashboard tab recalculates with filters, this text does not.</t>
  </si>
  <si>
    <t>Theme</t>
  </si>
  <si>
    <t>Finding</t>
  </si>
  <si>
    <t>Overall</t>
  </si>
  <si>
    <t>500 transactions worth ₹9.39 Cr (average ₹1.88 lakh) between Jul 2023 and 6 Jul 2025.</t>
  </si>
  <si>
    <t>Regions</t>
  </si>
  <si>
    <t>Volume is evenly spread. North leads (110 txns, ₹2.05 Cr); South is lowest (97 txns, ₹1.73 Cr).</t>
  </si>
  <si>
    <t>Branches</t>
  </si>
  <si>
    <t>Indore and Chennai are busiest (28 txns each); Mumbai is lowest (12) followed by Ranchi (14).</t>
  </si>
  <si>
    <t>Transaction mix</t>
  </si>
  <si>
    <t>Deposit 140, Online Transfer 136, Withdrawal 116, Cheque 108. Cheque and Online Transfer carry about 68% of total value (₹6.37 Cr) despite being under half of the count.</t>
  </si>
  <si>
    <t>Channels</t>
  </si>
  <si>
    <t>Debit Card is the most used mode (128 txns, 25.6%); Net Banking is the least (80, 16.0%). UPI is 94 (18.8%).</t>
  </si>
  <si>
    <t>Status</t>
  </si>
  <si>
    <t>86.8% Completed, 5.2% Failed, 4.2% Reversed, 3.8% Pending. Failed plus Reversed value is ₹89 lakh.</t>
  </si>
  <si>
    <t>Fraud overall</t>
  </si>
  <si>
    <t>13 flagged transactions (2.6%), worth ₹23.4 lakh; 11 of 13 were Completed, so funds actually moved.</t>
  </si>
  <si>
    <t>Fraud by branch</t>
  </si>
  <si>
    <t>Bhopal stands out: 3 of 20 transactions flagged (15%) versus 0 to 1 elsewhere. Central (4.1%) and West (4.0%) have the highest regional rates.</t>
  </si>
  <si>
    <t>Fraud by account / mode</t>
  </si>
  <si>
    <t>Savings accounts hold 7 of 13 cases (6.0% rate) against under 1% for Fixed and Recurring Deposits. Cash has the highest mode rate (5.1%); Withdrawal the highest type rate (4.3%).</t>
  </si>
  <si>
    <t>Transaction category</t>
  </si>
  <si>
    <t>Card-Based 228 txns (45.6%), Digital 174 (34.8%), Cash-Based 98 (19.6%). Cash-Based has the highest fraud rate at 5.1%, versus 2.3% for Digital and 1.8% for Card-Based.</t>
  </si>
  <si>
    <t>Customer type</t>
  </si>
  <si>
    <t>All 500 Customer IDs appear exactly once, so every customer is One-Time and none is Frequent. The Customer Type column works but cannot support loyalty analysis on this dataset.</t>
  </si>
  <si>
    <t>Trend</t>
  </si>
  <si>
    <t>Peaks in Nov 2023 (28) and Nov 2024 (27). Jul 2025 shows 4 txns only because data ends on 6 Jul; do not read it as a decline.</t>
  </si>
  <si>
    <t>Caution</t>
  </si>
  <si>
    <t>Only 13 fraud cases, so branch and segment rates are volatile. Treat them as leads for review, not proof.</t>
  </si>
  <si>
    <t>Analysis Tables (feed the Dashboard charts)</t>
  </si>
  <si>
    <t>Region criterion</t>
  </si>
  <si>
    <t>Driven by the Region / Year drop-downs on the Dashboard ('*' and '&gt;0' mean 'All')</t>
  </si>
  <si>
    <t>Year criterion</t>
  </si>
  <si>
    <t>Rupees per Crore</t>
  </si>
  <si>
    <t>Assumption: 1 Crore = 10,000,000 rupees (used to show Total Value in ₹ Cr)</t>
  </si>
  <si>
    <t>1. Regional volume (Year filter only)</t>
  </si>
  <si>
    <t>Region</t>
  </si>
  <si>
    <t>Txn Count</t>
  </si>
  <si>
    <t>Value (₹)</t>
  </si>
  <si>
    <t>% of Count</t>
  </si>
  <si>
    <t>Fraud Txns</t>
  </si>
  <si>
    <t>Fraud Rate</t>
  </si>
  <si>
    <t>Central</t>
  </si>
  <si>
    <t>East</t>
  </si>
  <si>
    <t>North</t>
  </si>
  <si>
    <t>South</t>
  </si>
  <si>
    <t>West</t>
  </si>
  <si>
    <t>Total</t>
  </si>
  <si>
    <t>3. Channel (Payment Mode) usage</t>
  </si>
  <si>
    <t>Payment Mode</t>
  </si>
  <si>
    <t>UPI</t>
  </si>
  <si>
    <t>Debit Card</t>
  </si>
  <si>
    <t>Credit Card</t>
  </si>
  <si>
    <t>Net Banking</t>
  </si>
  <si>
    <t>Cash</t>
  </si>
  <si>
    <t>4. Transaction type breakdown</t>
  </si>
  <si>
    <t>Transaction Type</t>
  </si>
  <si>
    <t>Deposit</t>
  </si>
  <si>
    <t>Online Transfer</t>
  </si>
  <si>
    <t>Withdrawal</t>
  </si>
  <si>
    <t>Cheque</t>
  </si>
  <si>
    <t>5. Transaction status</t>
  </si>
  <si>
    <t>Completed</t>
  </si>
  <si>
    <t>Pending</t>
  </si>
  <si>
    <t>Failed</t>
  </si>
  <si>
    <t>Reversed</t>
  </si>
  <si>
    <t>6. Account type</t>
  </si>
  <si>
    <t>Account Type</t>
  </si>
  <si>
    <t>Savings</t>
  </si>
  <si>
    <t>Current</t>
  </si>
  <si>
    <t>Fixed Deposit</t>
  </si>
  <si>
    <t>Recurring Deposit</t>
  </si>
  <si>
    <t>7. Transaction category (Digital = UPI + Net Banking; Card-Based = Debit + Credit; Cash-Based = Cash)</t>
  </si>
  <si>
    <t>Transaction Category</t>
  </si>
  <si>
    <t>Digital</t>
  </si>
  <si>
    <t>Card-Based</t>
  </si>
  <si>
    <t>Cash-Based</t>
  </si>
  <si>
    <t>8. Customer type (Frequent = more than 1 transaction per Customer ID)</t>
  </si>
  <si>
    <t>Customer Type</t>
  </si>
  <si>
    <t>Frequent</t>
  </si>
  <si>
    <t>One-Time</t>
  </si>
  <si>
    <t>9. Monthly trend (Region filter only)</t>
  </si>
  <si>
    <t>Month Start</t>
  </si>
  <si>
    <t>Label</t>
  </si>
  <si>
    <t>Month list is a hardcoded input (blue); Jul-25 is a partial month (data ends 6 Jul 2025).</t>
  </si>
  <si>
    <t>10. Fraud pattern by branch (Region + Year filters)</t>
  </si>
  <si>
    <t>Branch</t>
  </si>
  <si>
    <t>Legitimate Txns</t>
  </si>
  <si>
    <t>Total Txns</t>
  </si>
  <si>
    <t>Bhopal Branch</t>
  </si>
  <si>
    <t>Ahmedabad Branch</t>
  </si>
  <si>
    <t>Chandigarh Branch</t>
  </si>
  <si>
    <t>Delhi Branch</t>
  </si>
  <si>
    <t>Jaipur Branch</t>
  </si>
  <si>
    <t>Nagpur Branch</t>
  </si>
  <si>
    <t>Surat Branch</t>
  </si>
  <si>
    <t>Pune Branch</t>
  </si>
  <si>
    <t>Hyderabad Branch</t>
  </si>
  <si>
    <t>Patna Branch</t>
  </si>
  <si>
    <t>Raipur Branch</t>
  </si>
  <si>
    <t>Chennai Branch</t>
  </si>
  <si>
    <t>Indore Branch</t>
  </si>
  <si>
    <t>Lucknow Branch</t>
  </si>
  <si>
    <t>Bhubaneswar Branch</t>
  </si>
  <si>
    <t>Guwahati Branch</t>
  </si>
  <si>
    <t>Amritsar Branch</t>
  </si>
  <si>
    <t>Gwalior Branch</t>
  </si>
  <si>
    <t>Kolkata Branch</t>
  </si>
  <si>
    <t>Bangalore Branch</t>
  </si>
  <si>
    <t>Coimbatore Branch</t>
  </si>
  <si>
    <t>Jabalpur Branch</t>
  </si>
  <si>
    <t>Kochi Branch</t>
  </si>
  <si>
    <t>Ranchi Branch</t>
  </si>
  <si>
    <t>Mumbai Branch</t>
  </si>
  <si>
    <t>Rows sorted by fraud count then volume on the full dataset; counts recalculate with filters.</t>
  </si>
  <si>
    <t>Transaction ID</t>
  </si>
  <si>
    <t>Customer ID</t>
  </si>
  <si>
    <t>Customer Name</t>
  </si>
  <si>
    <t>Account Number</t>
  </si>
  <si>
    <t>City</t>
  </si>
  <si>
    <t>Branch Name</t>
  </si>
  <si>
    <t>Transaction Amount</t>
  </si>
  <si>
    <t>Transaction Date</t>
  </si>
  <si>
    <t>Transaction Status</t>
  </si>
  <si>
    <t>Balance After Txn</t>
  </si>
  <si>
    <t>Is Fraud</t>
  </si>
  <si>
    <t>year_month</t>
  </si>
  <si>
    <t>Fraud_Flag</t>
  </si>
  <si>
    <t>c906d56a-71d8-4309-80aa-8a668e6dd338</t>
  </si>
  <si>
    <t>Indali Dhingra</t>
  </si>
  <si>
    <t>748642976223</t>
  </si>
  <si>
    <t>Indore</t>
  </si>
  <si>
    <t>No</t>
  </si>
  <si>
    <t>bdbca5a9-5d6f-4b32-8e2d-c1ec810a57b1</t>
  </si>
  <si>
    <t>Siya Kala</t>
  </si>
  <si>
    <t>163745963749</t>
  </si>
  <si>
    <t>Guwahati</t>
  </si>
  <si>
    <t>1da2b6df-97ce-4e21-8661-e764b63e2541</t>
  </si>
  <si>
    <t>Tejas Rajan</t>
  </si>
  <si>
    <t>193406494234</t>
  </si>
  <si>
    <t>Ahmedabad</t>
  </si>
  <si>
    <t>30ec4db1-c1da-4e6d-a17b-8ac3ed248b37</t>
  </si>
  <si>
    <t>Charita Oza</t>
  </si>
  <si>
    <t>170817762643</t>
  </si>
  <si>
    <t>Pune</t>
  </si>
  <si>
    <t>7e2c42ab-e97b-4765-84cc-7615869642b7</t>
  </si>
  <si>
    <t>Daksh Thaman</t>
  </si>
  <si>
    <t>319075165406</t>
  </si>
  <si>
    <t>Bhopal</t>
  </si>
  <si>
    <t>f6c20666-e23c-41bb-a870-4d16c7379d68</t>
  </si>
  <si>
    <t>Zarna Mammen</t>
  </si>
  <si>
    <t>253605159009</t>
  </si>
  <si>
    <t>6c238a7e-487a-419c-895f-95878bc1a52c</t>
  </si>
  <si>
    <t>Ranveer Wable</t>
  </si>
  <si>
    <t>945930618441</t>
  </si>
  <si>
    <t>Raipur</t>
  </si>
  <si>
    <t>bc35e5f4-7c5e-4606-aa23-6d21f8fdc00e</t>
  </si>
  <si>
    <t>Janya Oommen</t>
  </si>
  <si>
    <t>960946735259</t>
  </si>
  <si>
    <t>Surat</t>
  </si>
  <si>
    <t>e6d3886e-aca3-43c0-bf91-e8d20f87eca1</t>
  </si>
  <si>
    <t>Pranav Sarraf</t>
  </si>
  <si>
    <t>920065850736</t>
  </si>
  <si>
    <t>Amritsar</t>
  </si>
  <si>
    <t>e3a56d54-c6b9-40fb-affd-049c92df79ce</t>
  </si>
  <si>
    <t>Arunima Andra</t>
  </si>
  <si>
    <t>246399826650</t>
  </si>
  <si>
    <t>f6d81624-e6e6-42d1-8653-88f03bbfb88b</t>
  </si>
  <si>
    <t>Anusha Parmar</t>
  </si>
  <si>
    <t>269059820502</t>
  </si>
  <si>
    <t>Nagpur</t>
  </si>
  <si>
    <t>ab65a169-4325-491e-9d38-48ef43acc5e5</t>
  </si>
  <si>
    <t>Utkarsh Narain</t>
  </si>
  <si>
    <t>682739590821</t>
  </si>
  <si>
    <t>d6f2d03e-286c-462e-8fbd-42ae564d7f34</t>
  </si>
  <si>
    <t>Vanya Patla</t>
  </si>
  <si>
    <t>257920784326</t>
  </si>
  <si>
    <t>Patna</t>
  </si>
  <si>
    <t>92093123-ee44-409d-aada-080e179fa528</t>
  </si>
  <si>
    <t>Ayush Bala</t>
  </si>
  <si>
    <t>866173303309</t>
  </si>
  <si>
    <t>Lucknow</t>
  </si>
  <si>
    <t>4f3c9aea-24f2-4065-98c8-531921030986</t>
  </si>
  <si>
    <t>Nikita Kaur</t>
  </si>
  <si>
    <t>725385591832</t>
  </si>
  <si>
    <t>Jabalpur</t>
  </si>
  <si>
    <t>3605051e-c720-4642-8fa2-6812b5f8ad82</t>
  </si>
  <si>
    <t>Bhanumati Balakrishnan</t>
  </si>
  <si>
    <t>129825978524</t>
  </si>
  <si>
    <t>Coimbatore</t>
  </si>
  <si>
    <t>fa5483e6-631d-4a81-ad7e-80ae050dc1a1</t>
  </si>
  <si>
    <t>Anthony Dave</t>
  </si>
  <si>
    <t>154877991245</t>
  </si>
  <si>
    <t>31846b44-390e-4af1-a70c-c978ab1efad5</t>
  </si>
  <si>
    <t>Tanveer Kohli</t>
  </si>
  <si>
    <t>246576120553</t>
  </si>
  <si>
    <t>54d3834e-67ff-43b6-8cf2-456017b143bb</t>
  </si>
  <si>
    <t>Ekani Dara</t>
  </si>
  <si>
    <t>475789086915</t>
  </si>
  <si>
    <t>52c824b7-1470-46e4-b351-74a77fa1c374</t>
  </si>
  <si>
    <t>Jai Tandon</t>
  </si>
  <si>
    <t>421404337824</t>
  </si>
  <si>
    <t>aa664390-1628-4b67-8902-862a5929cce2</t>
  </si>
  <si>
    <t>Watika Mistry</t>
  </si>
  <si>
    <t>399559926548</t>
  </si>
  <si>
    <t>Kochi</t>
  </si>
  <si>
    <t>3a37175b-933c-43b8-a644-5acf3afbf2e8</t>
  </si>
  <si>
    <t>Vasatika Johal</t>
  </si>
  <si>
    <t>964797210985</t>
  </si>
  <si>
    <t>Chennai</t>
  </si>
  <si>
    <t>8c0f7bfc-276c-4883-a5e5-cd788f768448</t>
  </si>
  <si>
    <t>Anya Prabhu</t>
  </si>
  <si>
    <t>371376739219</t>
  </si>
  <si>
    <t>b52faf7c-e341-43b0-8e93-1e949bb276fa</t>
  </si>
  <si>
    <t>Ekapad Gole</t>
  </si>
  <si>
    <t>290112954278</t>
  </si>
  <si>
    <t>4d3c0228-c910-4304-998c-c69bad60908e</t>
  </si>
  <si>
    <t>Sudiksha Chawla</t>
  </si>
  <si>
    <t>977958651702</t>
  </si>
  <si>
    <t>e3e408df-8ab2-4af6-8e12-f09158f4b325</t>
  </si>
  <si>
    <t>Varsha Mann</t>
  </si>
  <si>
    <t>381970890311</t>
  </si>
  <si>
    <t>923dc3a9-fb94-4e38-994e-24d9474dce07</t>
  </si>
  <si>
    <t>Theodore Chandran</t>
  </si>
  <si>
    <t>753553434809</t>
  </si>
  <si>
    <t>1b018e9f-c1d9-4335-9aea-1750e89f2193</t>
  </si>
  <si>
    <t>Edhitha Bhardwaj</t>
  </si>
  <si>
    <t>173872984561</t>
  </si>
  <si>
    <t>078ed5ed-d1ed-4dc3-9410-a3fed11a38b4</t>
  </si>
  <si>
    <t>Chandresh Patel</t>
  </si>
  <si>
    <t>427472926649</t>
  </si>
  <si>
    <t>5f985d0a-9738-4a30-a647-678e37de19de</t>
  </si>
  <si>
    <t>Janani Muni</t>
  </si>
  <si>
    <t>336318549444</t>
  </si>
  <si>
    <t>d3b4166e-2e13-4dd4-9b20-abdcdd79aa5d</t>
  </si>
  <si>
    <t>Shivansh Prabhu</t>
  </si>
  <si>
    <t>564485035229</t>
  </si>
  <si>
    <t>Hyderabad</t>
  </si>
  <si>
    <t>a449609b-f5b8-4e98-a9e4-452f564bf33c</t>
  </si>
  <si>
    <t>Aditya Prakash</t>
  </si>
  <si>
    <t>201493145216</t>
  </si>
  <si>
    <t>ff59f00c-2f39-4fe2-bab6-ba18ce7b1bb0</t>
  </si>
  <si>
    <t>Ganga Contractor</t>
  </si>
  <si>
    <t>560621316956</t>
  </si>
  <si>
    <t>Mumbai</t>
  </si>
  <si>
    <t>267b619a-961c-43b1-ade5-663db4cc27b2</t>
  </si>
  <si>
    <t>Rushil Sachdeva</t>
  </si>
  <si>
    <t>213916121897</t>
  </si>
  <si>
    <t>c2f4e70f-7fae-4f16-a939-f3a4c40a5cb2</t>
  </si>
  <si>
    <t>Warinder Dada</t>
  </si>
  <si>
    <t>524724150945</t>
  </si>
  <si>
    <t>85c907e5-eae9-4ae5-8682-7335efa57459</t>
  </si>
  <si>
    <t>Ekalinga Divan</t>
  </si>
  <si>
    <t>978676125504</t>
  </si>
  <si>
    <t>70e4f242-5557-4d3b-8471-dd202db5a3b7</t>
  </si>
  <si>
    <t>Aachal Acharya</t>
  </si>
  <si>
    <t>580776402182</t>
  </si>
  <si>
    <t>Chandigarh</t>
  </si>
  <si>
    <t>3c82845a-e21e-41a0-979c-169d33c2fc80</t>
  </si>
  <si>
    <t>Meera Oza</t>
  </si>
  <si>
    <t>192276969734</t>
  </si>
  <si>
    <t>Kolkata</t>
  </si>
  <si>
    <t>71777708-738b-4a22-8924-677a5afe3d58</t>
  </si>
  <si>
    <t>Reyansh Chauhan</t>
  </si>
  <si>
    <t>788289851630</t>
  </si>
  <si>
    <t>62518911-3e4e-49c6-9512-1bfc06323e10</t>
  </si>
  <si>
    <t>Dayita Das</t>
  </si>
  <si>
    <t>792670907549</t>
  </si>
  <si>
    <t>Gwalior</t>
  </si>
  <si>
    <t>5f6aa3d0-def8-4718-bd70-8b4b1aa7eed5</t>
  </si>
  <si>
    <t>Anthony Comar</t>
  </si>
  <si>
    <t>709411524006</t>
  </si>
  <si>
    <t>cff302b1-3087-4ca9-bbb2-ae97e574f2cd</t>
  </si>
  <si>
    <t>Upkaar Goyal</t>
  </si>
  <si>
    <t>397885804569</t>
  </si>
  <si>
    <t>Bangalore</t>
  </si>
  <si>
    <t>ba36b15c-06cd-4d6e-9643-b0cfe62776ea</t>
  </si>
  <si>
    <t>Barkha Ahluwalia</t>
  </si>
  <si>
    <t>707104940908</t>
  </si>
  <si>
    <t>Jaipur</t>
  </si>
  <si>
    <t>fd2a9cf1-c260-474a-bb91-1081a4ad46bd</t>
  </si>
  <si>
    <t>Zehaan Wali</t>
  </si>
  <si>
    <t>327507559769</t>
  </si>
  <si>
    <t>23cf92b2-3035-46ac-af8d-fc4e14970d8b</t>
  </si>
  <si>
    <t>Priya Kuruvilla</t>
  </si>
  <si>
    <t>982037976790</t>
  </si>
  <si>
    <t>6b8da0f4-ea1d-41c6-9a2c-43b02a799d36</t>
  </si>
  <si>
    <t>Chandani Walia</t>
  </si>
  <si>
    <t>702697254640</t>
  </si>
  <si>
    <t>91b14ab8-1c7a-449b-9db4-478f54442982</t>
  </si>
  <si>
    <t>Jack Sridhar</t>
  </si>
  <si>
    <t>590927660148</t>
  </si>
  <si>
    <t>Delhi</t>
  </si>
  <si>
    <t>Yes</t>
  </si>
  <si>
    <t>543768cb-d86a-4628-81cc-f2b1022ca354</t>
  </si>
  <si>
    <t>Advik Natt</t>
  </si>
  <si>
    <t>366996690919</t>
  </si>
  <si>
    <t>9cd31713-6d99-4024-a213-95792bc7f88d</t>
  </si>
  <si>
    <t>David Dhaliwal</t>
  </si>
  <si>
    <t>715222997316</t>
  </si>
  <si>
    <t>346ce9f0-89d8-48f1-acd1-ed4e8636f0ce</t>
  </si>
  <si>
    <t>Vritti Arora</t>
  </si>
  <si>
    <t>850425096741</t>
  </si>
  <si>
    <t>e01dce9a-2b7b-4d91-bd8b-8b37c23211fd</t>
  </si>
  <si>
    <t>Bahadurjit Banerjee</t>
  </si>
  <si>
    <t>316273586448</t>
  </si>
  <si>
    <t>c6b86e5e-fd8f-43fc-b48e-afc11df5a541</t>
  </si>
  <si>
    <t>Kamala Dhaliwal</t>
  </si>
  <si>
    <t>593004841860</t>
  </si>
  <si>
    <t>bc60740d-e858-4f94-9566-1eef6497bdb8</t>
  </si>
  <si>
    <t>Jagrati Bhattacharyya</t>
  </si>
  <si>
    <t>315927510709</t>
  </si>
  <si>
    <t>Bhubaneswar</t>
  </si>
  <si>
    <t>cb593236-b3a6-4ed6-af6f-590bd4786b1d</t>
  </si>
  <si>
    <t>Hritik Contractor</t>
  </si>
  <si>
    <t>726575855284</t>
  </si>
  <si>
    <t>4d1b7980-a305-408d-b097-e6e8096ebd45</t>
  </si>
  <si>
    <t>Alka Rao</t>
  </si>
  <si>
    <t>388988910146</t>
  </si>
  <si>
    <t>03aa27dd-e059-4e85-8505-b961b5a45294</t>
  </si>
  <si>
    <t>Aadhya Naidu</t>
  </si>
  <si>
    <t>755637196899</t>
  </si>
  <si>
    <t>391bab10-2f7c-4a05-8810-20c41309d4f9</t>
  </si>
  <si>
    <t>Ekalinga Master</t>
  </si>
  <si>
    <t>170246566065</t>
  </si>
  <si>
    <t>18bf3d1a-0cfd-4dd0-b243-96699d7c0148</t>
  </si>
  <si>
    <t>Aishani Sachdev</t>
  </si>
  <si>
    <t>582149472587</t>
  </si>
  <si>
    <t>71078ce7-dec7-4fa4-8933-4eca9aedb7f9</t>
  </si>
  <si>
    <t>Gopal Jaggi</t>
  </si>
  <si>
    <t>604716561890</t>
  </si>
  <si>
    <t>97a68b99-8cbc-4b28-bb0b-d4ed2c428ddc</t>
  </si>
  <si>
    <t>Manbir Golla</t>
  </si>
  <si>
    <t>930540134859</t>
  </si>
  <si>
    <t>663e9152-5f5c-4a5b-b9ef-5393b4b73a12</t>
  </si>
  <si>
    <t>Pooja Banerjee</t>
  </si>
  <si>
    <t>667033396764</t>
  </si>
  <si>
    <t>de2147f0-bc82-43b9-9e86-69c024ad0663</t>
  </si>
  <si>
    <t>Unnati Seth</t>
  </si>
  <si>
    <t>261079556384</t>
  </si>
  <si>
    <t>fdf4b68c-5590-4498-946b-8efbdc0a31bc</t>
  </si>
  <si>
    <t>Vihaan Chowdhury</t>
  </si>
  <si>
    <t>160461931506</t>
  </si>
  <si>
    <t>616fcc8c-56bc-4197-91cb-4b07d92c0fb1</t>
  </si>
  <si>
    <t>Yashoda Choudhury</t>
  </si>
  <si>
    <t>775194651628</t>
  </si>
  <si>
    <t>Ranchi</t>
  </si>
  <si>
    <t>00fd40bf-bf9d-4bff-993f-60f5eee6bb03</t>
  </si>
  <si>
    <t>Rishi Desai</t>
  </si>
  <si>
    <t>684612790738</t>
  </si>
  <si>
    <t>e6d0967c-f9d5-4e46-9f87-d564b671d413</t>
  </si>
  <si>
    <t>Garima Ray</t>
  </si>
  <si>
    <t>244696373610</t>
  </si>
  <si>
    <t>b34a6f74-ae8f-47ad-924f-86556889d99d</t>
  </si>
  <si>
    <t>Mitali Nigam</t>
  </si>
  <si>
    <t>232180677568</t>
  </si>
  <si>
    <t>2673fe87-e626-4a87-8ad7-3a10fa06f4c3</t>
  </si>
  <si>
    <t>Rachana Bansal</t>
  </si>
  <si>
    <t>189711713821</t>
  </si>
  <si>
    <t>b2ade9ec-6a44-455e-9378-1cb83e5dd5a2</t>
  </si>
  <si>
    <t>Matthew Ramachandran</t>
  </si>
  <si>
    <t>414860744072</t>
  </si>
  <si>
    <t>5f00cf03-ed87-484c-ba6c-eaa36f50bb7b</t>
  </si>
  <si>
    <t>Leela Ramachandran</t>
  </si>
  <si>
    <t>726091926541</t>
  </si>
  <si>
    <t>ccbaaeb4-e933-4e31-a0fa-d19de42b0aa6</t>
  </si>
  <si>
    <t>Jonathan Taneja</t>
  </si>
  <si>
    <t>260561696809</t>
  </si>
  <si>
    <t>b572bae1-9ed6-4f39-8bbc-059bafa3e368</t>
  </si>
  <si>
    <t>Hema Savant</t>
  </si>
  <si>
    <t>939671397979</t>
  </si>
  <si>
    <t>eb06c345-27b2-43fe-8b57-74abfe097181</t>
  </si>
  <si>
    <t>Laksh Naik</t>
  </si>
  <si>
    <t>721091509137</t>
  </si>
  <si>
    <t>51989afa-bed1-4325-a13d-95fbac40d879</t>
  </si>
  <si>
    <t>Ati Kalita</t>
  </si>
  <si>
    <t>174251495558</t>
  </si>
  <si>
    <t>6b9795cc-f800-41e7-9c05-f0ac55d1061a</t>
  </si>
  <si>
    <t>Warda Jayaraman</t>
  </si>
  <si>
    <t>335715085702</t>
  </si>
  <si>
    <t>ddc5a8ef-f22d-4453-84cd-2c189b907453</t>
  </si>
  <si>
    <t>Mekhala Sandhu</t>
  </si>
  <si>
    <t>407129016960</t>
  </si>
  <si>
    <t>1e819aad-5b5f-4e14-89a1-cfe9654b06b2</t>
  </si>
  <si>
    <t>Ucchal Deep</t>
  </si>
  <si>
    <t>273078175564</t>
  </si>
  <si>
    <t>9b35ff7f-9cff-4443-b980-d80117014e88</t>
  </si>
  <si>
    <t>Vinaya Singhal</t>
  </si>
  <si>
    <t>921865469550</t>
  </si>
  <si>
    <t>e9365338-4cc1-4aed-b986-b49160163f0c</t>
  </si>
  <si>
    <t>Isaac Sandal</t>
  </si>
  <si>
    <t>668697508911</t>
  </si>
  <si>
    <t>cbfa73b5-c97d-44c6-93c0-1aec270e805e</t>
  </si>
  <si>
    <t>Fitan Memon</t>
  </si>
  <si>
    <t>982009733970</t>
  </si>
  <si>
    <t>dc13cf47-0a1a-4aec-b1f4-81d7f5dc3816</t>
  </si>
  <si>
    <t>Mason Contractor</t>
  </si>
  <si>
    <t>440841637325</t>
  </si>
  <si>
    <t>80b3645d-74e2-4b56-9238-b906b291f579</t>
  </si>
  <si>
    <t>Kritika Wason</t>
  </si>
  <si>
    <t>206376466987</t>
  </si>
  <si>
    <t>488e03e5-d1b1-4069-958d-35616f0b201c</t>
  </si>
  <si>
    <t>Aahana Chahal</t>
  </si>
  <si>
    <t>396259742856</t>
  </si>
  <si>
    <t>893027bb-1105-4eb6-83fb-211687351dc0</t>
  </si>
  <si>
    <t>Vansha Rai</t>
  </si>
  <si>
    <t>643282698177</t>
  </si>
  <si>
    <t>7c0b8276-4c0c-4323-a876-980051a56c15</t>
  </si>
  <si>
    <t>Isaac Peri</t>
  </si>
  <si>
    <t>693909368952</t>
  </si>
  <si>
    <t>3576e0a5-4bd8-4887-921b-e05ad460de03</t>
  </si>
  <si>
    <t>Arin Chandra</t>
  </si>
  <si>
    <t>405209357833</t>
  </si>
  <si>
    <t>2983f870-78b7-44b1-b120-75bb4d3e2411</t>
  </si>
  <si>
    <t>Veda Dube</t>
  </si>
  <si>
    <t>626901044244</t>
  </si>
  <si>
    <t>609c294f-9192-4233-a3dd-df5fa7a26ec0</t>
  </si>
  <si>
    <t>Rudra Wason</t>
  </si>
  <si>
    <t>360164842230</t>
  </si>
  <si>
    <t>fb83ae2e-5fcb-4fbd-a252-2989f8f6d036</t>
  </si>
  <si>
    <t>Yauvani Rama</t>
  </si>
  <si>
    <t>791650643766</t>
  </si>
  <si>
    <t>2044b866-4e8f-4e20-8b6f-dc20136edf14</t>
  </si>
  <si>
    <t>Vritti Sabharwal</t>
  </si>
  <si>
    <t>694508992835</t>
  </si>
  <si>
    <t>ded29be0-13ca-445c-9df7-ed1134aa78c0</t>
  </si>
  <si>
    <t>Widisha Singhal</t>
  </si>
  <si>
    <t>109856223455</t>
  </si>
  <si>
    <t>00f36763-b751-4839-a3c3-06e6ff283c20</t>
  </si>
  <si>
    <t>Jagvi Balay</t>
  </si>
  <si>
    <t>699404858667</t>
  </si>
  <si>
    <t>64f9d004-e4bc-450d-85f7-65141003bd81</t>
  </si>
  <si>
    <t>Jagdish Sagar</t>
  </si>
  <si>
    <t>208342410757</t>
  </si>
  <si>
    <t>e0dab459-92a9-4cfa-a863-c17c4c2e79d2</t>
  </si>
  <si>
    <t>Orinder Mahajan</t>
  </si>
  <si>
    <t>640702669526</t>
  </si>
  <si>
    <t>1eecddea-2c95-41ee-8459-c0c59f8daf8e</t>
  </si>
  <si>
    <t>Tripti Chandran</t>
  </si>
  <si>
    <t>976230686799</t>
  </si>
  <si>
    <t>5c1c9ae5-b0a4-42e3-8660-e1fdb1a7d6ae</t>
  </si>
  <si>
    <t>Chandani Mammen</t>
  </si>
  <si>
    <t>605825525973</t>
  </si>
  <si>
    <t>de78ca4d-2ed2-44cd-a28f-a94e8ffd1722</t>
  </si>
  <si>
    <t>Wakeeta Sandhu</t>
  </si>
  <si>
    <t>915362443565</t>
  </si>
  <si>
    <t>c029cdf7-f81a-4da7-a31e-668415613c29</t>
  </si>
  <si>
    <t>Brinda Minhas</t>
  </si>
  <si>
    <t>858729220350</t>
  </si>
  <si>
    <t>908aad90-85d9-47c4-bd58-9f4ea733d8fe</t>
  </si>
  <si>
    <t>Upasna Wadhwa</t>
  </si>
  <si>
    <t>741907644425</t>
  </si>
  <si>
    <t>21c1fdd0-3a23-4942-bfa7-af092c88e295</t>
  </si>
  <si>
    <t>Hardik Savant</t>
  </si>
  <si>
    <t>184804419951</t>
  </si>
  <si>
    <t>f0cb015d-3171-453b-87ba-5557fbec4e39</t>
  </si>
  <si>
    <t>Vivaan Borra</t>
  </si>
  <si>
    <t>503436480030</t>
  </si>
  <si>
    <t>1be9cf2d-8c81-442b-8fd0-c6507395db90</t>
  </si>
  <si>
    <t>Radha Sridhar</t>
  </si>
  <si>
    <t>443440313367</t>
  </si>
  <si>
    <t>18bc22b5-59e0-45cd-84ed-d27c46df4a0a</t>
  </si>
  <si>
    <t>Maya Baria</t>
  </si>
  <si>
    <t>823134970926</t>
  </si>
  <si>
    <t>e1013214-d963-4673-b04d-89b8cf0abd4f</t>
  </si>
  <si>
    <t>Meera Sibal</t>
  </si>
  <si>
    <t>319436377684</t>
  </si>
  <si>
    <t>a88964d9-7341-43b3-806e-e0533e1b41bc</t>
  </si>
  <si>
    <t>Upma Srinivasan</t>
  </si>
  <si>
    <t>262242868098</t>
  </si>
  <si>
    <t>e450aa83-9876-4480-ae03-b2982067eac5</t>
  </si>
  <si>
    <t>Jacob Seth</t>
  </si>
  <si>
    <t>513922347721</t>
  </si>
  <si>
    <t>105c1746-11cb-46a6-aa58-8f90b2a6a346</t>
  </si>
  <si>
    <t>Lajita Pau</t>
  </si>
  <si>
    <t>904962141704</t>
  </si>
  <si>
    <t>7bb92b24-a7c0-4b38-ad91-ee31b5edce8e</t>
  </si>
  <si>
    <t>Isaac Raval</t>
  </si>
  <si>
    <t>488415133220</t>
  </si>
  <si>
    <t>f7fb5b22-544f-4ced-8121-9d190905075f</t>
  </si>
  <si>
    <t>Andrew Sani</t>
  </si>
  <si>
    <t>197930940390</t>
  </si>
  <si>
    <t>161e1c61-7aee-44af-97d6-641bcf2a8970</t>
  </si>
  <si>
    <t>Tamanna Chandra</t>
  </si>
  <si>
    <t>689762479864</t>
  </si>
  <si>
    <t>f9a0a188-3a48-4cef-b2d8-d4b75fddea00</t>
  </si>
  <si>
    <t>Vyanjana Raja</t>
  </si>
  <si>
    <t>616978136350</t>
  </si>
  <si>
    <t>52be5da1-8c4d-4670-a08d-6b8be4ae7497</t>
  </si>
  <si>
    <t>Kevin Rege</t>
  </si>
  <si>
    <t>989289734142</t>
  </si>
  <si>
    <t>0f8f54ca-9fb9-4785-8647-2468a004fa45</t>
  </si>
  <si>
    <t>Krisha Mammen</t>
  </si>
  <si>
    <t>353294394784</t>
  </si>
  <si>
    <t>fd1d3fde-3620-4c8f-b53c-4465a0cba4f6</t>
  </si>
  <si>
    <t>Kavya Sastry</t>
  </si>
  <si>
    <t>879867008186</t>
  </si>
  <si>
    <t>4d3fa55a-5762-4e29-ae84-5a66cfed93bd</t>
  </si>
  <si>
    <t>Jagat Hari</t>
  </si>
  <si>
    <t>346427521349</t>
  </si>
  <si>
    <t>d51f9b46-f368-4a09-ab13-0c6a18f47dd5</t>
  </si>
  <si>
    <t>Amruta Keer</t>
  </si>
  <si>
    <t>142582750102</t>
  </si>
  <si>
    <t>543c5d3a-323f-45ef-b855-f2c77adfbea8</t>
  </si>
  <si>
    <t>Ayushman Ranganathan</t>
  </si>
  <si>
    <t>847152245069</t>
  </si>
  <si>
    <t>7fbe0ba5-acbe-412f-a196-c7cc139ca37a</t>
  </si>
  <si>
    <t>Nandini Salvi</t>
  </si>
  <si>
    <t>952800653604</t>
  </si>
  <si>
    <t>04245ce4-504e-4b0e-be15-fe6c63669b23</t>
  </si>
  <si>
    <t>Chaaya Cheema</t>
  </si>
  <si>
    <t>802999451859</t>
  </si>
  <si>
    <t>31772850-4dc3-45a6-999d-39e5d903c7d4</t>
  </si>
  <si>
    <t>Veer Lalla</t>
  </si>
  <si>
    <t>980417793826</t>
  </si>
  <si>
    <t>53280ea1-dd41-4ed1-a9fd-e99721499e1f</t>
  </si>
  <si>
    <t>Daniel Sekhon</t>
  </si>
  <si>
    <t>920697483092</t>
  </si>
  <si>
    <t>d88899f6-ddce-4d44-87ff-c5048e5241a4</t>
  </si>
  <si>
    <t>Ethan Gill</t>
  </si>
  <si>
    <t>440778300689</t>
  </si>
  <si>
    <t>e3ac2b66-dc49-453f-8c82-8d0bc9c5549a</t>
  </si>
  <si>
    <t>Chanchal Kara</t>
  </si>
  <si>
    <t>176675428770</t>
  </si>
  <si>
    <t>0e104293-9725-463a-bc09-87fb54940434</t>
  </si>
  <si>
    <t>Yatan Bandi</t>
  </si>
  <si>
    <t>300442436792</t>
  </si>
  <si>
    <t>ab932225-5685-4051-84fe-8db07734d341</t>
  </si>
  <si>
    <t>Turvi Nayak</t>
  </si>
  <si>
    <t>650905653791</t>
  </si>
  <si>
    <t>66703732-f532-444b-8d11-2c9a9a2263b2</t>
  </si>
  <si>
    <t>Robert Lal</t>
  </si>
  <si>
    <t>274518043942</t>
  </si>
  <si>
    <t>86dc1157-e9fd-4e98-b293-cadc88641d75</t>
  </si>
  <si>
    <t>Bakhshi Kunda</t>
  </si>
  <si>
    <t>880276020182</t>
  </si>
  <si>
    <t>fef795f4-082a-4129-81ea-8b6ec2132853</t>
  </si>
  <si>
    <t>Krishna Sarna</t>
  </si>
  <si>
    <t>444007230901</t>
  </si>
  <si>
    <t>80d701ba-98a7-4f51-8f3d-0737355f185e</t>
  </si>
  <si>
    <t>Ayush Zachariah</t>
  </si>
  <si>
    <t>799839515528</t>
  </si>
  <si>
    <t>6b7f0cf2-9089-45ed-badc-de6c072bcbc9</t>
  </si>
  <si>
    <t>Jeet Chawla</t>
  </si>
  <si>
    <t>431080009450</t>
  </si>
  <si>
    <t>8fa3c024-3a65-4814-9736-7a75349817f4</t>
  </si>
  <si>
    <t>Yadavi Wason</t>
  </si>
  <si>
    <t>247431431877</t>
  </si>
  <si>
    <t>fde8bf83-3f38-4327-b632-ce0b7418dd05</t>
  </si>
  <si>
    <t>Sanya Jaggi</t>
  </si>
  <si>
    <t>265051585781</t>
  </si>
  <si>
    <t>dc920ff0-4476-4233-8a68-d1b76806e11c</t>
  </si>
  <si>
    <t>Jhalak Walia</t>
  </si>
  <si>
    <t>177523340140</t>
  </si>
  <si>
    <t>02403cc4-f717-4702-a502-8ca1f809e7ed</t>
  </si>
  <si>
    <t>Ishaan Vaidya</t>
  </si>
  <si>
    <t>792853366341</t>
  </si>
  <si>
    <t>ce1ee09b-53e7-433b-8565-78b87cc2a845</t>
  </si>
  <si>
    <t>Amrita Pathak</t>
  </si>
  <si>
    <t>805666817485</t>
  </si>
  <si>
    <t>229a2356-98c0-4c9e-a853-4c8b1bb64a48</t>
  </si>
  <si>
    <t>George Sarraf</t>
  </si>
  <si>
    <t>990579280992</t>
  </si>
  <si>
    <t>e3df7035-07a3-4750-937f-b203c023b0c9</t>
  </si>
  <si>
    <t>Maanav Madan</t>
  </si>
  <si>
    <t>824494447566</t>
  </si>
  <si>
    <t>2c09fcbb-ad28-476d-8970-1ce53adf5133</t>
  </si>
  <si>
    <t>Pavani Sampath</t>
  </si>
  <si>
    <t>859240583067</t>
  </si>
  <si>
    <t>866fc4df-4f97-4dea-9576-0a0c5b3c3219</t>
  </si>
  <si>
    <t>Bimala Ratta</t>
  </si>
  <si>
    <t>462554663247</t>
  </si>
  <si>
    <t>749658d6-ad8b-4977-9798-875258c7e917</t>
  </si>
  <si>
    <t>Siya Sahota</t>
  </si>
  <si>
    <t>424979154506</t>
  </si>
  <si>
    <t>1fd55cf2-fd94-4d94-9af8-3edfb4331750</t>
  </si>
  <si>
    <t>Leena Sheth</t>
  </si>
  <si>
    <t>594804478063</t>
  </si>
  <si>
    <t>dc665109-864f-479e-817b-1b24c049abe3</t>
  </si>
  <si>
    <t>Advay Tripathi</t>
  </si>
  <si>
    <t>200258397818</t>
  </si>
  <si>
    <t>f0d6a2c6-b47b-4c4f-8704-ca522dc40164</t>
  </si>
  <si>
    <t>Nathan Kaul</t>
  </si>
  <si>
    <t>554515895107</t>
  </si>
  <si>
    <t>a75c3412-f4c8-4590-978c-4a96dd26a8ab</t>
  </si>
  <si>
    <t>Harini Saran</t>
  </si>
  <si>
    <t>551881289169</t>
  </si>
  <si>
    <t>4777f9b4-58d1-475a-90b0-145a70b15ac0</t>
  </si>
  <si>
    <t>Simon Raju</t>
  </si>
  <si>
    <t>432189750305</t>
  </si>
  <si>
    <t>82bd9c31-9b2b-45a9-9919-fe6ba777f73f</t>
  </si>
  <si>
    <t>Falan Ravi</t>
  </si>
  <si>
    <t>548282814998</t>
  </si>
  <si>
    <t>04846856-a1c8-410e-a7e5-2906406e8941</t>
  </si>
  <si>
    <t>Megha Raja</t>
  </si>
  <si>
    <t>599383994938</t>
  </si>
  <si>
    <t>07c96aad-61bf-4626-a9ae-0a34209494c7</t>
  </si>
  <si>
    <t>Zilmil Solanki</t>
  </si>
  <si>
    <t>118420256517</t>
  </si>
  <si>
    <t>d0d15529-e4f3-43a9-b304-54053e16aa01</t>
  </si>
  <si>
    <t>Pahal Shroff</t>
  </si>
  <si>
    <t>499277122705</t>
  </si>
  <si>
    <t>24baa7b0-5391-46ab-94ca-b5583a41af18</t>
  </si>
  <si>
    <t>Thomas Rattan</t>
  </si>
  <si>
    <t>185223890909</t>
  </si>
  <si>
    <t>d983e39e-6827-42f2-b347-d58adf3a80ac</t>
  </si>
  <si>
    <t>Radha Borde</t>
  </si>
  <si>
    <t>126451823883</t>
  </si>
  <si>
    <t>d81a0385-2d54-4be8-9e57-1f87684e76bd</t>
  </si>
  <si>
    <t>Eta Venkataraman</t>
  </si>
  <si>
    <t>464662276260</t>
  </si>
  <si>
    <t>8ef8c848-20b8-4493-985c-24f2b925610c</t>
  </si>
  <si>
    <t>Turvi Buch</t>
  </si>
  <si>
    <t>924783774270</t>
  </si>
  <si>
    <t>9a2984ac-e042-447f-ac04-e78645b18881</t>
  </si>
  <si>
    <t>Advaith Sankar</t>
  </si>
  <si>
    <t>855946759203</t>
  </si>
  <si>
    <t>83402b0a-4b08-4921-b79b-14d50a0be9c2</t>
  </si>
  <si>
    <t>Vrinda Nayak</t>
  </si>
  <si>
    <t>956396989936</t>
  </si>
  <si>
    <t>3758eba4-6ac8-417a-8063-60066c461d50</t>
  </si>
  <si>
    <t>Pallavi Bumb</t>
  </si>
  <si>
    <t>194148450617</t>
  </si>
  <si>
    <t>274f4733-1b44-40a1-91f5-090c42cd313a</t>
  </si>
  <si>
    <t>Unnati Dugar</t>
  </si>
  <si>
    <t>113624287115</t>
  </si>
  <si>
    <t>3bf12f44-d2b7-4a9f-ba2e-a394943bd67d</t>
  </si>
  <si>
    <t>Viraj Bhatia</t>
  </si>
  <si>
    <t>687564757084</t>
  </si>
  <si>
    <t>e20739e0-7851-438b-9d11-83e648c78598</t>
  </si>
  <si>
    <t>Mugdha Panchal</t>
  </si>
  <si>
    <t>219059604533</t>
  </si>
  <si>
    <t>bab859d6-2e31-4ecb-b3c0-b1d06f0b6a59</t>
  </si>
  <si>
    <t>David Bhakta</t>
  </si>
  <si>
    <t>802060333395</t>
  </si>
  <si>
    <t>d63db32e-5451-4226-846b-a0c0bce4885b</t>
  </si>
  <si>
    <t>Laksh Sarin</t>
  </si>
  <si>
    <t>950574724598</t>
  </si>
  <si>
    <t>70c6689c-c901-4564-a001-fcc948b02ee9</t>
  </si>
  <si>
    <t>Lajita Malhotra</t>
  </si>
  <si>
    <t>555966315099</t>
  </si>
  <si>
    <t>a82d7285-ef5a-495a-8c64-6e5926405552</t>
  </si>
  <si>
    <t>Ucchal Morar</t>
  </si>
  <si>
    <t>686925039970</t>
  </si>
  <si>
    <t>114778ff-a257-4de1-9b40-56e31cd83627</t>
  </si>
  <si>
    <t>Hemang Srinivasan</t>
  </si>
  <si>
    <t>850820030043</t>
  </si>
  <si>
    <t>025fcb06-3964-4c6a-89f8-eac44e04116e</t>
  </si>
  <si>
    <t>Unni Chander</t>
  </si>
  <si>
    <t>672793088296</t>
  </si>
  <si>
    <t>f2667ad3-06c6-4e44-aa86-3ae43c38838a</t>
  </si>
  <si>
    <t>Dhriti Bhatti</t>
  </si>
  <si>
    <t>340321947570</t>
  </si>
  <si>
    <t>80a03d5e-643f-4808-b7b1-c4cae624906d</t>
  </si>
  <si>
    <t>Arjun Oza</t>
  </si>
  <si>
    <t>572275455942</t>
  </si>
  <si>
    <t>f6f2f9bf-f03f-433e-ab6e-d746131bf851</t>
  </si>
  <si>
    <t>Abhiram Dua</t>
  </si>
  <si>
    <t>623222273192</t>
  </si>
  <si>
    <t>d7b4ca6f-776d-4e9a-bfb0-8eeb310841de</t>
  </si>
  <si>
    <t>Banjeet Mahal</t>
  </si>
  <si>
    <t>292949525017</t>
  </si>
  <si>
    <t>0979e55f-2627-4240-b1cb-1438376c5179</t>
  </si>
  <si>
    <t>Vasudha Nayar</t>
  </si>
  <si>
    <t>903370949456</t>
  </si>
  <si>
    <t>4b101ce1-b9b5-4a30-b259-9c116ce40cfe</t>
  </si>
  <si>
    <t>Daksha Dhawan</t>
  </si>
  <si>
    <t>260587250312</t>
  </si>
  <si>
    <t>ffeadd46-0ffa-4a8e-945f-7e44548c9dc9</t>
  </si>
  <si>
    <t>Harini Ravel</t>
  </si>
  <si>
    <t>977364169001</t>
  </si>
  <si>
    <t>9151f2c2-7655-411c-9fba-4133ff27b9eb</t>
  </si>
  <si>
    <t>Pranav Dave</t>
  </si>
  <si>
    <t>390913928721</t>
  </si>
  <si>
    <t>8d1c1aa5-6de3-487b-a94e-6b2e42444250</t>
  </si>
  <si>
    <t>Faraj Rout</t>
  </si>
  <si>
    <t>722703997525</t>
  </si>
  <si>
    <t>71695f06-5705-4689-bb51-16a89ccee2cc</t>
  </si>
  <si>
    <t>Luke Luthra</t>
  </si>
  <si>
    <t>792282281783</t>
  </si>
  <si>
    <t>ebec190b-6a64-4f0d-82d6-6ee71a4ab11d</t>
  </si>
  <si>
    <t>Urmi Patla</t>
  </si>
  <si>
    <t>738265413805</t>
  </si>
  <si>
    <t>b37a1d58-d951-4dd7-bee5-54879fc9a695</t>
  </si>
  <si>
    <t>Chanakya Dhar</t>
  </si>
  <si>
    <t>660462416947</t>
  </si>
  <si>
    <t>0072d9f5-5d55-4b21-bab4-7e9db5443b65</t>
  </si>
  <si>
    <t>Yashodhara Ganesan</t>
  </si>
  <si>
    <t>773349801258</t>
  </si>
  <si>
    <t>9f09da20-2fca-4436-9c05-7b04386594d9</t>
  </si>
  <si>
    <t>Ranveer Rout</t>
  </si>
  <si>
    <t>758276699400</t>
  </si>
  <si>
    <t>ce934bd4-15e5-494d-aa5d-a43abd4f535e</t>
  </si>
  <si>
    <t>Wakeeta Ratti</t>
  </si>
  <si>
    <t>885153418135</t>
  </si>
  <si>
    <t>34d56187-c08e-47ca-afda-4e8766de448f</t>
  </si>
  <si>
    <t>Abhimanyu Sama</t>
  </si>
  <si>
    <t>536354802733</t>
  </si>
  <si>
    <t>d3df971f-ca42-4077-86c3-475c12965f7d</t>
  </si>
  <si>
    <t>Lohit Bajwa</t>
  </si>
  <si>
    <t>774104911098</t>
  </si>
  <si>
    <t>038466ef-252a-47ce-a87e-71662abc1637</t>
  </si>
  <si>
    <t>Widisha Luthra</t>
  </si>
  <si>
    <t>599441016363</t>
  </si>
  <si>
    <t>7d8ada5d-130d-4918-b0b5-6d6ea8edabfa</t>
  </si>
  <si>
    <t>Nandini Borra</t>
  </si>
  <si>
    <t>575512465389</t>
  </si>
  <si>
    <t>cb0a5b22-ebde-4c29-a9d1-a7038192cfac</t>
  </si>
  <si>
    <t>Oscar Naidu</t>
  </si>
  <si>
    <t>709341661530</t>
  </si>
  <si>
    <t>bbe5d2c6-4408-471b-aef7-9c81c034dd8a</t>
  </si>
  <si>
    <t>Ishanvi Dixit</t>
  </si>
  <si>
    <t>782215302028</t>
  </si>
  <si>
    <t>0bc8b463-f65d-4856-9678-0e41337fa409</t>
  </si>
  <si>
    <t>Azaan Kota</t>
  </si>
  <si>
    <t>459712929306</t>
  </si>
  <si>
    <t>df7f7ea9-393c-4be3-a7da-184827e7c971</t>
  </si>
  <si>
    <t>Patrick Oommen</t>
  </si>
  <si>
    <t>128421661114</t>
  </si>
  <si>
    <t>ca3944e0-0434-4e15-9853-3b4d8ff76c43</t>
  </si>
  <si>
    <t>Turvi Dara</t>
  </si>
  <si>
    <t>532372091101</t>
  </si>
  <si>
    <t>31c391b1-54ff-4b98-b7e1-d883dfb2e8f7</t>
  </si>
  <si>
    <t>Aarnav Kant</t>
  </si>
  <si>
    <t>133109804226</t>
  </si>
  <si>
    <t>f8d360a4-92d3-482f-ac1e-db9b1e0c7ad6</t>
  </si>
  <si>
    <t>Madhav Shenoy</t>
  </si>
  <si>
    <t>674125296809</t>
  </si>
  <si>
    <t>8cdf7735-0f19-4d74-b907-b8634fcbef71</t>
  </si>
  <si>
    <t>Lohit Kurian</t>
  </si>
  <si>
    <t>644707102453</t>
  </si>
  <si>
    <t>cd0005e8-48e0-443c-9e75-4d0a01235d95</t>
  </si>
  <si>
    <t>Harsh Nayak</t>
  </si>
  <si>
    <t>948080124499</t>
  </si>
  <si>
    <t>18301c0d-a988-4a52-895c-c28e69e89c6f</t>
  </si>
  <si>
    <t>Vasana Srinivas</t>
  </si>
  <si>
    <t>171580026376</t>
  </si>
  <si>
    <t>b1a22d3e-dae5-4172-bb8e-234aa505726a</t>
  </si>
  <si>
    <t>Yashawini Handa</t>
  </si>
  <si>
    <t>323601796174</t>
  </si>
  <si>
    <t>775fe6a2-57d3-43d2-ab9c-30ac3b2dfd90</t>
  </si>
  <si>
    <t>Timothy Bhagat</t>
  </si>
  <si>
    <t>174074350282</t>
  </si>
  <si>
    <t>a7d27da1-6997-450b-b9f2-2ec14730e4fb</t>
  </si>
  <si>
    <t>Zinal Raju</t>
  </si>
  <si>
    <t>446324586564</t>
  </si>
  <si>
    <t>6ff23ad4-3477-4f63-886d-92ae7a84daa9</t>
  </si>
  <si>
    <t>Logan Hayre</t>
  </si>
  <si>
    <t>993033314029</t>
  </si>
  <si>
    <t>b967b17a-9a8e-4699-9e68-66173240e765</t>
  </si>
  <si>
    <t>Yutika Babu</t>
  </si>
  <si>
    <t>294611826165</t>
  </si>
  <si>
    <t>ec72fa74-1baf-4b0f-8dd2-057e4caf2bb9</t>
  </si>
  <si>
    <t>Xavier Varughese</t>
  </si>
  <si>
    <t>104745824924</t>
  </si>
  <si>
    <t>8d47240b-470c-4a5e-81e6-2881b806e112</t>
  </si>
  <si>
    <t>Elijah Sen</t>
  </si>
  <si>
    <t>298367664209</t>
  </si>
  <si>
    <t>de32ee5c-2963-4b68-9314-37c9510fee55</t>
  </si>
  <si>
    <t>Amrita Baria</t>
  </si>
  <si>
    <t>908844402758</t>
  </si>
  <si>
    <t>2e1b58e1-c7b1-4714-925e-0e2c4a339fd9</t>
  </si>
  <si>
    <t>Frederick Prabhakar</t>
  </si>
  <si>
    <t>879121856049</t>
  </si>
  <si>
    <t>66a00d9e-7e1e-4b78-af0a-dd80b7ca6a98</t>
  </si>
  <si>
    <t>Amara Chacko</t>
  </si>
  <si>
    <t>448540026288</t>
  </si>
  <si>
    <t>64c9873a-351a-4b84-b3b6-d42643bb8437</t>
  </si>
  <si>
    <t>Inaya Prabhakar</t>
  </si>
  <si>
    <t>700954169412</t>
  </si>
  <si>
    <t>1533567e-4d20-4132-b86f-0a37f949ebf9</t>
  </si>
  <si>
    <t>Triveni Sanghvi</t>
  </si>
  <si>
    <t>784033043076</t>
  </si>
  <si>
    <t>fb2a2ce1-c11d-4710-81a4-1a8984b53b93</t>
  </si>
  <si>
    <t>Jacob Char</t>
  </si>
  <si>
    <t>956938466004</t>
  </si>
  <si>
    <t>b9408151-3d66-4ea5-95fa-1f42eb764169</t>
  </si>
  <si>
    <t>Pooja Baral</t>
  </si>
  <si>
    <t>356872754777</t>
  </si>
  <si>
    <t>f4181a0c-7a83-49fd-8ddd-b24a02e1d276</t>
  </si>
  <si>
    <t>Harshil Ramaswamy</t>
  </si>
  <si>
    <t>967181974276</t>
  </si>
  <si>
    <t>877c8c90-7090-4c6b-a2d5-68a10b5e84e1</t>
  </si>
  <si>
    <t>Charles Devi</t>
  </si>
  <si>
    <t>243746329004</t>
  </si>
  <si>
    <t>815e14eb-2098-46d6-bb0d-3339ed33578a</t>
  </si>
  <si>
    <t>Hredhaan Aurora</t>
  </si>
  <si>
    <t>575318543797</t>
  </si>
  <si>
    <t>1128e494-1080-4a5e-828c-5aaf607929b5</t>
  </si>
  <si>
    <t>Indrajit Brar</t>
  </si>
  <si>
    <t>972348027984</t>
  </si>
  <si>
    <t>aabb59f2-7170-4ec0-bfce-44f002b48f29</t>
  </si>
  <si>
    <t>Eta Zacharia</t>
  </si>
  <si>
    <t>620866833278</t>
  </si>
  <si>
    <t>11d601f9-4b5f-488a-a640-674c9e151b0a</t>
  </si>
  <si>
    <t>Henry Ratta</t>
  </si>
  <si>
    <t>655684209042</t>
  </si>
  <si>
    <t>863d696a-f19f-4eb7-a47a-9e3f926b0fbf</t>
  </si>
  <si>
    <t>Upasna Dash</t>
  </si>
  <si>
    <t>393065946926</t>
  </si>
  <si>
    <t>7197feb1-0e7a-4187-93de-5e7697d34253</t>
  </si>
  <si>
    <t>Janani Saxena</t>
  </si>
  <si>
    <t>770477101883</t>
  </si>
  <si>
    <t>0d30f1d0-c566-4826-ad70-7f9f4d6e9881</t>
  </si>
  <si>
    <t>Madhavi Sama</t>
  </si>
  <si>
    <t>268345748955</t>
  </si>
  <si>
    <t>d724fb28-9add-4067-9cff-97797130d7e3</t>
  </si>
  <si>
    <t>Advika Sachdev</t>
  </si>
  <si>
    <t>309101241276</t>
  </si>
  <si>
    <t>9950064d-b87b-4f55-b0f9-02ee6066147c</t>
  </si>
  <si>
    <t>Chasmum Ganesan</t>
  </si>
  <si>
    <t>543364918707</t>
  </si>
  <si>
    <t>ab0e7817-6bb8-4dd9-91c6-9f559f916637</t>
  </si>
  <si>
    <t>Ayush Pai</t>
  </si>
  <si>
    <t>319552688595</t>
  </si>
  <si>
    <t>82979aa8-fa0e-497d-b8cd-8b19d74190b3</t>
  </si>
  <si>
    <t>Anthony Bhalla</t>
  </si>
  <si>
    <t>684278087022</t>
  </si>
  <si>
    <t>7310682f-d84d-4c3c-a24d-29e40a60ee5a</t>
  </si>
  <si>
    <t>Indrajit Zachariah</t>
  </si>
  <si>
    <t>789357220935</t>
  </si>
  <si>
    <t>ceef5660-bdb6-47d2-bfe7-407928ba0309</t>
  </si>
  <si>
    <t>Abhiram Shah</t>
  </si>
  <si>
    <t>559502587824</t>
  </si>
  <si>
    <t>6c504093-65a3-4d67-bc20-0a7237e53eea</t>
  </si>
  <si>
    <t>Arin Venkatesh</t>
  </si>
  <si>
    <t>411549448636</t>
  </si>
  <si>
    <t>68324606-5422-43fe-a453-66e17793da37</t>
  </si>
  <si>
    <t>Noah Puri</t>
  </si>
  <si>
    <t>720641924691</t>
  </si>
  <si>
    <t>ba67980f-f576-4933-b59a-36e560e42740</t>
  </si>
  <si>
    <t>Nilima Dutt</t>
  </si>
  <si>
    <t>773335459822</t>
  </si>
  <si>
    <t>c4067a04-c825-416f-9eca-54f777499c5b</t>
  </si>
  <si>
    <t>Eta Divan</t>
  </si>
  <si>
    <t>356915330199</t>
  </si>
  <si>
    <t>77323c98-1997-4c10-a66e-558050dc6213</t>
  </si>
  <si>
    <t>Darika Rao</t>
  </si>
  <si>
    <t>393607099649</t>
  </si>
  <si>
    <t>285da30d-334e-46dd-a647-627a5d6d0c1f</t>
  </si>
  <si>
    <t>Chakradhar Nanda</t>
  </si>
  <si>
    <t>339400232530</t>
  </si>
  <si>
    <t>85bd577f-a5ae-4860-b903-0a5576e75ce7</t>
  </si>
  <si>
    <t>Jeremiah Wason</t>
  </si>
  <si>
    <t>675328116160</t>
  </si>
  <si>
    <t>f70dbb59-c490-4182-903d-6c5793c03458</t>
  </si>
  <si>
    <t>Aarnav Dey</t>
  </si>
  <si>
    <t>636266180100</t>
  </si>
  <si>
    <t>6296fb0b-0fea-451b-b564-784f265410a6</t>
  </si>
  <si>
    <t>Kamala Karnik</t>
  </si>
  <si>
    <t>349805921639</t>
  </si>
  <si>
    <t>97c34e36-9e4a-49fb-8ba6-c4c6d79ea64d</t>
  </si>
  <si>
    <t>Falguni Mukhopadhyay</t>
  </si>
  <si>
    <t>966380460400</t>
  </si>
  <si>
    <t>301b73ed-a5ed-4932-9ff0-dd35b1a7457c</t>
  </si>
  <si>
    <t>Vincent Kara</t>
  </si>
  <si>
    <t>148789252268</t>
  </si>
  <si>
    <t>4b20ef1f-2692-43bf-ada8-d664d089f7fb</t>
  </si>
  <si>
    <t>Daksh Deep</t>
  </si>
  <si>
    <t>963159668295</t>
  </si>
  <si>
    <t>98bb8adc-733a-4d76-be0f-ab0411063ccc</t>
  </si>
  <si>
    <t>Indrajit Loke</t>
  </si>
  <si>
    <t>265003686340</t>
  </si>
  <si>
    <t>894cfd1a-7b61-480c-ab28-bf77784a509e</t>
  </si>
  <si>
    <t>Oni Memon</t>
  </si>
  <si>
    <t>284903006756</t>
  </si>
  <si>
    <t>04f69ce1-ead1-480f-b2c5-a99dc650d3b2</t>
  </si>
  <si>
    <t>Rushil Nagarajan</t>
  </si>
  <si>
    <t>193418652788</t>
  </si>
  <si>
    <t>85346cb4-fe6c-4c0e-a87b-dfd18517969b</t>
  </si>
  <si>
    <t>Dhriti Batta</t>
  </si>
  <si>
    <t>431187283506</t>
  </si>
  <si>
    <t>cd0b6f33-8ad2-4f2b-acbb-a762ea2ec9c0</t>
  </si>
  <si>
    <t>Lakshit Tella</t>
  </si>
  <si>
    <t>145388855042</t>
  </si>
  <si>
    <t>4f59e7a5-8175-46dc-af06-b61cd22b3606</t>
  </si>
  <si>
    <t>Simon Bava</t>
  </si>
  <si>
    <t>509479969038</t>
  </si>
  <si>
    <t>db684545-7495-414b-9919-1560cb2ea76c</t>
  </si>
  <si>
    <t>Timothy Mitra</t>
  </si>
  <si>
    <t>580561786132</t>
  </si>
  <si>
    <t>dac8a6e8-0146-43e8-9a90-8e675f9fbaa8</t>
  </si>
  <si>
    <t>Yashvi Mammen</t>
  </si>
  <si>
    <t>446588297457</t>
  </si>
  <si>
    <t>964ede1d-1f81-4d58-86bd-4c328f060ca3</t>
  </si>
  <si>
    <t>Qushi Comar</t>
  </si>
  <si>
    <t>702633425078</t>
  </si>
  <si>
    <t>79320d21-8bc4-4e00-85e0-8ce4a4ab42b4</t>
  </si>
  <si>
    <t>Ekanta Goel</t>
  </si>
  <si>
    <t>380872047716</t>
  </si>
  <si>
    <t>b9b81ddb-0c70-476f-be60-f67e451e0090</t>
  </si>
  <si>
    <t>Deepa Om</t>
  </si>
  <si>
    <t>714751372463</t>
  </si>
  <si>
    <t>491fc7cd-9009-41e2-9f2c-c5aaff219d75</t>
  </si>
  <si>
    <t>Jyoti Ravi</t>
  </si>
  <si>
    <t>138839456678</t>
  </si>
  <si>
    <t>03fc22d3-0e5a-4c71-aacc-4b5588d20b7b</t>
  </si>
  <si>
    <t>Ekiya Chhabra</t>
  </si>
  <si>
    <t>288046549982</t>
  </si>
  <si>
    <t>3e7a498c-9e3a-4b87-8680-5a5436021263</t>
  </si>
  <si>
    <t>Warhi Hayre</t>
  </si>
  <si>
    <t>387905519517</t>
  </si>
  <si>
    <t>107bd4a3-9d8e-43ee-a0df-31b57b65eed2</t>
  </si>
  <si>
    <t>Hemang Khare</t>
  </si>
  <si>
    <t>195214730525</t>
  </si>
  <si>
    <t>28fa62df-63a8-4908-b601-bffd24303acf</t>
  </si>
  <si>
    <t>Baghyawati Barad</t>
  </si>
  <si>
    <t>937325765058</t>
  </si>
  <si>
    <t>edbfa1b1-f134-4e41-81c4-7740805dacd9</t>
  </si>
  <si>
    <t>Jeremiah Sekhon</t>
  </si>
  <si>
    <t>387860643996</t>
  </si>
  <si>
    <t>8cd074cb-60ce-4449-ba5d-7751a3b9d2b3</t>
  </si>
  <si>
    <t>Andrew Ganesan</t>
  </si>
  <si>
    <t>780371569610</t>
  </si>
  <si>
    <t>94558069-8581-4de5-8fcc-00e3e541e452</t>
  </si>
  <si>
    <t>Teerth Thaman</t>
  </si>
  <si>
    <t>422791292913</t>
  </si>
  <si>
    <t>1b09dede-e649-402c-bde0-5bd7576d4ac5</t>
  </si>
  <si>
    <t>Darpan Biswas</t>
  </si>
  <si>
    <t>685617653836</t>
  </si>
  <si>
    <t>97cc1ed6-4e33-46b4-9967-65b70079d233</t>
  </si>
  <si>
    <t>Zayyan Naik</t>
  </si>
  <si>
    <t>869888869752</t>
  </si>
  <si>
    <t>ee9a24cd-a4e7-4264-9a1f-b39a49aafdd2</t>
  </si>
  <si>
    <t>Aarini Shanker</t>
  </si>
  <si>
    <t>317906843145</t>
  </si>
  <si>
    <t>c40c55e5-d888-4870-a6e1-bd7b2dc577b4</t>
  </si>
  <si>
    <t>Lajita Agrawal</t>
  </si>
  <si>
    <t>746074720789</t>
  </si>
  <si>
    <t>fed18fd2-9154-45b9-976b-730767ebcd27</t>
  </si>
  <si>
    <t>Siya Narang</t>
  </si>
  <si>
    <t>801626913319</t>
  </si>
  <si>
    <t>e8058d57-cc77-4809-8470-462eeb4c4014</t>
  </si>
  <si>
    <t>Lekha Jani</t>
  </si>
  <si>
    <t>552928908176</t>
  </si>
  <si>
    <t>f108d82f-7113-4b81-8232-01951f8e8d35</t>
  </si>
  <si>
    <t>Anvi Sarin</t>
  </si>
  <si>
    <t>825799561602</t>
  </si>
  <si>
    <t>85f4e337-427e-4971-b55c-109b7de85a86</t>
  </si>
  <si>
    <t>Nimrat Patel</t>
  </si>
  <si>
    <t>355613348806</t>
  </si>
  <si>
    <t>7d8c86d0-e566-4bff-a2ef-53a5eb2a8187</t>
  </si>
  <si>
    <t>Qushi Lanka</t>
  </si>
  <si>
    <t>206600196087</t>
  </si>
  <si>
    <t>614c74f4-661b-409a-afd5-caf0c779a143</t>
  </si>
  <si>
    <t>Baghyawati Sant</t>
  </si>
  <si>
    <t>124054946791</t>
  </si>
  <si>
    <t>ce03b15d-cb11-430c-bbf4-84d3aa6a6355</t>
  </si>
  <si>
    <t>Udarsh Yadav</t>
  </si>
  <si>
    <t>262964581056</t>
  </si>
  <si>
    <t>42738895-c3c1-4b52-bb44-636b1d719097</t>
  </si>
  <si>
    <t>Devansh Shanker</t>
  </si>
  <si>
    <t>211489234529</t>
  </si>
  <si>
    <t>c2132f8e-95c3-433d-9774-3ea3e32ccba4</t>
  </si>
  <si>
    <t>Darpan Dave</t>
  </si>
  <si>
    <t>524989289739</t>
  </si>
  <si>
    <t>8390a471-955f-4080-8301-aa1483fbccad</t>
  </si>
  <si>
    <t>Mugdha Bumb</t>
  </si>
  <si>
    <t>475832206582</t>
  </si>
  <si>
    <t>e1eb0ffd-9302-4b1b-8d09-498169aa46be</t>
  </si>
  <si>
    <t>Adweta Mitra</t>
  </si>
  <si>
    <t>751228513253</t>
  </si>
  <si>
    <t>eb328eff-d2bd-42e2-bb7f-7b59c49e04dc</t>
  </si>
  <si>
    <t>Inaya Chhabra</t>
  </si>
  <si>
    <t>152931021324</t>
  </si>
  <si>
    <t>4dcc110d-2caf-4b29-8e4a-0537e0115862</t>
  </si>
  <si>
    <t>Shaurya Swaminathan</t>
  </si>
  <si>
    <t>943603317916</t>
  </si>
  <si>
    <t>78ae1381-a4de-44e2-bbfb-a0e0e753d570</t>
  </si>
  <si>
    <t>Kabir Hegde</t>
  </si>
  <si>
    <t>491219042136</t>
  </si>
  <si>
    <t>5849f022-9ec3-413b-b772-7049df075710</t>
  </si>
  <si>
    <t>Tanvi Ahuja</t>
  </si>
  <si>
    <t>298594864896</t>
  </si>
  <si>
    <t>eb1a8602-868d-4bd2-996a-8f4d8fbd9943</t>
  </si>
  <si>
    <t>Alexander Nagarajan</t>
  </si>
  <si>
    <t>497519884299</t>
  </si>
  <si>
    <t>a1378b36-bfc8-4385-bfa3-012164ee41f1</t>
  </si>
  <si>
    <t>Veda Merchant</t>
  </si>
  <si>
    <t>201644180608</t>
  </si>
  <si>
    <t>f207c059-bf5c-4ce6-8b4b-ab7503bd003b</t>
  </si>
  <si>
    <t>Thomas Sidhu</t>
  </si>
  <si>
    <t>608496244258</t>
  </si>
  <si>
    <t>a415a509-2303-444d-9939-15847e20e63d</t>
  </si>
  <si>
    <t>Samuel Chanda</t>
  </si>
  <si>
    <t>533388275492</t>
  </si>
  <si>
    <t>6aac1c96-7047-4d11-b27d-44944f72e6a8</t>
  </si>
  <si>
    <t>Nidhi Jayaraman</t>
  </si>
  <si>
    <t>926782138535</t>
  </si>
  <si>
    <t>af063ceb-893a-4311-86f3-091a59c7647f</t>
  </si>
  <si>
    <t>Eshana Zachariah</t>
  </si>
  <si>
    <t>123840092510</t>
  </si>
  <si>
    <t>a905b04c-04aa-4fad-9365-6c56d92f356e</t>
  </si>
  <si>
    <t>Upma Sha</t>
  </si>
  <si>
    <t>171963031441</t>
  </si>
  <si>
    <t>ab07f7cf-1b90-4c14-9cbd-f87d2401eb10</t>
  </si>
  <si>
    <t>Ladli Madan</t>
  </si>
  <si>
    <t>641936362459</t>
  </si>
  <si>
    <t>f17acc22-46dd-4a03-a09e-66797fc864f2</t>
  </si>
  <si>
    <t>Noah Bawa</t>
  </si>
  <si>
    <t>564967692986</t>
  </si>
  <si>
    <t>a59c225b-8bc7-49c5-819b-5f2cd76d52a6</t>
  </si>
  <si>
    <t>Ojasvi Sani</t>
  </si>
  <si>
    <t>494929654093</t>
  </si>
  <si>
    <t>0ea3bd1b-a9f6-4ccd-a8e1-90b6a0cbabf8</t>
  </si>
  <si>
    <t>Pranit More</t>
  </si>
  <si>
    <t>119549755173</t>
  </si>
  <si>
    <t>7ac9c83a-885d-4904-8023-0c6ff75cfc85</t>
  </si>
  <si>
    <t>Netra Puri</t>
  </si>
  <si>
    <t>124406358417</t>
  </si>
  <si>
    <t>c6a6588e-3486-401f-8261-2cfedcf17d9b</t>
  </si>
  <si>
    <t>Anmol Bandi</t>
  </si>
  <si>
    <t>994560173406</t>
  </si>
  <si>
    <t>3a02fb56-d851-4da2-a7a2-e7bf539b47c1</t>
  </si>
  <si>
    <t>Kiaan Kuruvilla</t>
  </si>
  <si>
    <t>136882903943</t>
  </si>
  <si>
    <t>79dd9b16-3d1e-4196-98e8-42740ba73378</t>
  </si>
  <si>
    <t>Nachiket Sarna</t>
  </si>
  <si>
    <t>217777372658</t>
  </si>
  <si>
    <t>319c565a-17ab-4abe-ae39-658ff82398e6</t>
  </si>
  <si>
    <t>Ayushman Nadig</t>
  </si>
  <si>
    <t>437188099042</t>
  </si>
  <si>
    <t>8726924e-e736-4152-a600-93f25a82297a</t>
  </si>
  <si>
    <t>Thomas Sundaram</t>
  </si>
  <si>
    <t>883282254049</t>
  </si>
  <si>
    <t>45628100-f3f1-4308-a159-4cf27ef61300</t>
  </si>
  <si>
    <t>Gayathri Dugar</t>
  </si>
  <si>
    <t>462284198068</t>
  </si>
  <si>
    <t>b8269c51-66e6-41bd-981c-bd21dc71dc12</t>
  </si>
  <si>
    <t>Dhriti Chokshi</t>
  </si>
  <si>
    <t>123226173461</t>
  </si>
  <si>
    <t>910546a5-cc88-4186-8343-ce556acd4197</t>
  </si>
  <si>
    <t>Lohit Memon</t>
  </si>
  <si>
    <t>677482806646</t>
  </si>
  <si>
    <t>51161d93-6376-4992-8862-8a8f73274de8</t>
  </si>
  <si>
    <t>Baghyawati Kale</t>
  </si>
  <si>
    <t>420857447807</t>
  </si>
  <si>
    <t>97268ff9-634c-4609-9b5a-ce1b575d09bf</t>
  </si>
  <si>
    <t>Anya Dasgupta</t>
  </si>
  <si>
    <t>242581856250</t>
  </si>
  <si>
    <t>c9d0af20-d50b-46a5-b8b1-9f5a32fa9092</t>
  </si>
  <si>
    <t>Umang Dutt</t>
  </si>
  <si>
    <t>134008821990</t>
  </si>
  <si>
    <t>a99bd63e-5258-48d7-9ac8-0c5f02481d68</t>
  </si>
  <si>
    <t>Meghana Vasa</t>
  </si>
  <si>
    <t>151051425844</t>
  </si>
  <si>
    <t>0f6a1ea5-9afb-4345-b77d-e7591335d270</t>
  </si>
  <si>
    <t>Urvi Ganesan</t>
  </si>
  <si>
    <t>289947365975</t>
  </si>
  <si>
    <t>26ca49c6-d6d4-43b5-99b0-93d06755c7fa</t>
  </si>
  <si>
    <t>Yahvi Nori</t>
  </si>
  <si>
    <t>241139363334</t>
  </si>
  <si>
    <t>2c90d6f2-00fb-4e2f-b3ff-5eafcd96f7e9</t>
  </si>
  <si>
    <t>Raghav Lata</t>
  </si>
  <si>
    <t>635029319031</t>
  </si>
  <si>
    <t>1a0b103c-7fbf-4d11-8779-c4ed13986aa4</t>
  </si>
  <si>
    <t>Darpan Bose</t>
  </si>
  <si>
    <t>268490351527</t>
  </si>
  <si>
    <t>a3f93225-85c6-4a01-b210-ef59d3c352fc</t>
  </si>
  <si>
    <t>Meghana Chaudhry</t>
  </si>
  <si>
    <t>584318320202</t>
  </si>
  <si>
    <t>1d92b0c3-2ddc-4ae9-8dd8-8650c3a6239d</t>
  </si>
  <si>
    <t>Damini Mammen</t>
  </si>
  <si>
    <t>139932947699</t>
  </si>
  <si>
    <t>5217e86d-17f3-4b6d-b430-f4d08a939a4f</t>
  </si>
  <si>
    <t>Tarak Chahal</t>
  </si>
  <si>
    <t>172987559056</t>
  </si>
  <si>
    <t>28f163ec-8016-46b3-bbdb-fd5093ce0ee5</t>
  </si>
  <si>
    <t>Sathvik Banerjee</t>
  </si>
  <si>
    <t>275740728802</t>
  </si>
  <si>
    <t>69df0caf-ba2a-4b78-8d72-b6a117af3bd9</t>
  </si>
  <si>
    <t>Nakul Shan</t>
  </si>
  <si>
    <t>549737898101</t>
  </si>
  <si>
    <t>20712dae-f3a4-40e9-a123-c5ee6b9c4ac0</t>
  </si>
  <si>
    <t>Gaurangi Chaudhry</t>
  </si>
  <si>
    <t>985206008802</t>
  </si>
  <si>
    <t>780dd334-a9fb-4398-9a4e-690436194f52</t>
  </si>
  <si>
    <t>Bachittar Palla</t>
  </si>
  <si>
    <t>119278894333</t>
  </si>
  <si>
    <t>6247563c-a13f-4f8e-b730-72c07aff5309</t>
  </si>
  <si>
    <t>Neel Bali</t>
  </si>
  <si>
    <t>279271808282</t>
  </si>
  <si>
    <t>4d1cf2c4-ed9a-4802-9646-e8050cf3b564</t>
  </si>
  <si>
    <t>Advika Mall</t>
  </si>
  <si>
    <t>823851213066</t>
  </si>
  <si>
    <t>503bb24c-12e6-4a4a-b630-45254f982fac</t>
  </si>
  <si>
    <t>Kai Pandya</t>
  </si>
  <si>
    <t>702582639068</t>
  </si>
  <si>
    <t>7b2b0a33-f86e-48d5-b26f-badeb1272990</t>
  </si>
  <si>
    <t>Chatresh Issac</t>
  </si>
  <si>
    <t>103490076984</t>
  </si>
  <si>
    <t>8d316704-a9d8-4707-aeb6-57eae4ef9bea</t>
  </si>
  <si>
    <t>Jai Choudhry</t>
  </si>
  <si>
    <t>490291230378</t>
  </si>
  <si>
    <t>f9aee4b5-e22d-4fdc-b409-a10666068039</t>
  </si>
  <si>
    <t>Omya Parsa</t>
  </si>
  <si>
    <t>772077329179</t>
  </si>
  <si>
    <t>827bc546-1bd0-4e69-9d28-a02c8d851be8</t>
  </si>
  <si>
    <t>Aadhya Sagar</t>
  </si>
  <si>
    <t>555859409829</t>
  </si>
  <si>
    <t>36c7f2ab-9aea-4a1e-a1d3-7088ea4dd258</t>
  </si>
  <si>
    <t>Rachana Radhakrishnan</t>
  </si>
  <si>
    <t>724249667582</t>
  </si>
  <si>
    <t>b565a4f8-0c8a-496e-8ea7-7f46d05e65d0</t>
  </si>
  <si>
    <t>Abhimanyu Khalsa</t>
  </si>
  <si>
    <t>902094706216</t>
  </si>
  <si>
    <t>eeadc24e-4a5b-4d24-8202-a8a9a53cb2fb</t>
  </si>
  <si>
    <t>Rayaan Bhattacharyya</t>
  </si>
  <si>
    <t>565539620553</t>
  </si>
  <si>
    <t>71d75907-80c9-41f5-b842-003289bebe2e</t>
  </si>
  <si>
    <t>Varenya Dhaliwal</t>
  </si>
  <si>
    <t>432335197720</t>
  </si>
  <si>
    <t>41158a38-4f6f-4e62-8c37-7c7dcc2098ae</t>
  </si>
  <si>
    <t>Aachal Mann</t>
  </si>
  <si>
    <t>130206487294</t>
  </si>
  <si>
    <t>53c5db3a-442b-4188-bd5b-6030ee5a95ce</t>
  </si>
  <si>
    <t>Umang Gokhale</t>
  </si>
  <si>
    <t>924632714359</t>
  </si>
  <si>
    <t>d04c0b0a-5b7e-448b-a152-29d410b94690</t>
  </si>
  <si>
    <t>Amaira Shankar</t>
  </si>
  <si>
    <t>477182324308</t>
  </si>
  <si>
    <t>1ed4f179-4e70-4632-a1d7-13b013cae6b1</t>
  </si>
  <si>
    <t>Ishani Uppal</t>
  </si>
  <si>
    <t>476384442388</t>
  </si>
  <si>
    <t>412dc2b3-0f2d-4d77-aa74-fcc63a02fc36</t>
  </si>
  <si>
    <t>Vasana Dhar</t>
  </si>
  <si>
    <t>126907120490</t>
  </si>
  <si>
    <t>593947ec-7bdb-40f1-b950-3389b6552447</t>
  </si>
  <si>
    <t>Aradhana Parmar</t>
  </si>
  <si>
    <t>882143942859</t>
  </si>
  <si>
    <t>7ca06469-566e-46a0-a598-1e0ef3d4a0aa</t>
  </si>
  <si>
    <t>Divya Din</t>
  </si>
  <si>
    <t>133268629842</t>
  </si>
  <si>
    <t>bd06b020-2645-4ba7-b80d-47cc5dbe036a</t>
  </si>
  <si>
    <t>Charan Borra</t>
  </si>
  <si>
    <t>433805514591</t>
  </si>
  <si>
    <t>ddb55507-6ba0-4431-9e64-d57118df6bd9</t>
  </si>
  <si>
    <t>Rishi Lanka</t>
  </si>
  <si>
    <t>406498403510</t>
  </si>
  <si>
    <t>2b87a63e-fbe7-476c-8276-bd0a8c64d5e7</t>
  </si>
  <si>
    <t>Anthony Balakrishnan</t>
  </si>
  <si>
    <t>577554548613</t>
  </si>
  <si>
    <t>6cd4641a-f32d-45db-8c1e-e4b90449a466</t>
  </si>
  <si>
    <t>Naveen Sachdeva</t>
  </si>
  <si>
    <t>884210811039</t>
  </si>
  <si>
    <t>276bd213-49b5-4e12-8bdf-bd342c08e899</t>
  </si>
  <si>
    <t>Rudra Ravel</t>
  </si>
  <si>
    <t>428200261572</t>
  </si>
  <si>
    <t>9b510770-74b4-4885-83e8-bd821ab5c3a8</t>
  </si>
  <si>
    <t>Krish Nagy</t>
  </si>
  <si>
    <t>113639393827</t>
  </si>
  <si>
    <t>f94c66f0-af7b-4f7e-b93e-e9774378ec62</t>
  </si>
  <si>
    <t>Udant Pau</t>
  </si>
  <si>
    <t>633651930756</t>
  </si>
  <si>
    <t>c20d3c5d-cfc9-4d09-baac-a0943e64869e</t>
  </si>
  <si>
    <t>Kalpit Prabhakar</t>
  </si>
  <si>
    <t>388268391021</t>
  </si>
  <si>
    <t>bd8153b3-3d34-4e8f-9f6c-c4a5983f86b3</t>
  </si>
  <si>
    <t>Lakshmi Batra</t>
  </si>
  <si>
    <t>600039500647</t>
  </si>
  <si>
    <t>b00a0588-9356-4146-b0d4-3d5617095547</t>
  </si>
  <si>
    <t>Balhaar Suri</t>
  </si>
  <si>
    <t>434312755539</t>
  </si>
  <si>
    <t>7c383cbd-c9c4-4d7e-aec7-4807133a3e27</t>
  </si>
  <si>
    <t>Adweta Rastogi</t>
  </si>
  <si>
    <t>834906079344</t>
  </si>
  <si>
    <t>5a8f4c85-e619-4345-8349-71c834b95d95</t>
  </si>
  <si>
    <t>Gavin Sinha</t>
  </si>
  <si>
    <t>507228613971</t>
  </si>
  <si>
    <t>fb791d9f-1a8f-4384-a493-f4ef64fb1a21</t>
  </si>
  <si>
    <t>Tristan Bera</t>
  </si>
  <si>
    <t>197653048874</t>
  </si>
  <si>
    <t>689659c1-3a5e-4746-b126-ac07f00ae348</t>
  </si>
  <si>
    <t>Vasatika Bhandari</t>
  </si>
  <si>
    <t>365343466726</t>
  </si>
  <si>
    <t>15e3d308-d5ba-4b15-a68f-f9d8cae7cc73</t>
  </si>
  <si>
    <t>Jagvi Pillay</t>
  </si>
  <si>
    <t>184613706984</t>
  </si>
  <si>
    <t>84f22dec-64f7-4cda-ade6-b84c9568bf4f</t>
  </si>
  <si>
    <t>Manbir Loyal</t>
  </si>
  <si>
    <t>669037054253</t>
  </si>
  <si>
    <t>6339dcb1-7a32-4533-a6cd-fa735888be18</t>
  </si>
  <si>
    <t>Banjeet Kadakia</t>
  </si>
  <si>
    <t>304809259360</t>
  </si>
  <si>
    <t>009adf0e-3dc7-49ce-b577-e47d4fbe00ef</t>
  </si>
  <si>
    <t>Dhriti Dasgupta</t>
  </si>
  <si>
    <t>815931680958</t>
  </si>
  <si>
    <t>2e9baff1-8514-4428-ac60-c36c39659c21</t>
  </si>
  <si>
    <t>Balhaar Chadha</t>
  </si>
  <si>
    <t>385357726132</t>
  </si>
  <si>
    <t>0d221bd7-083d-451b-9e03-29d4ffa471c1</t>
  </si>
  <si>
    <t>Brinda Korpal</t>
  </si>
  <si>
    <t>100768524152</t>
  </si>
  <si>
    <t>31dd6dfc-8f46-4685-acf9-68d8da1d192a</t>
  </si>
  <si>
    <t>Rudra Dhar</t>
  </si>
  <si>
    <t>284180983285</t>
  </si>
  <si>
    <t>9191a41e-7bd2-439a-99d9-2512d4f6a1af</t>
  </si>
  <si>
    <t>Chanchal Trivedi</t>
  </si>
  <si>
    <t>242642960021</t>
  </si>
  <si>
    <t>bafd4013-37e5-42b5-8a28-051ed837e6ae</t>
  </si>
  <si>
    <t>Laksh Hayre</t>
  </si>
  <si>
    <t>870186363718</t>
  </si>
  <si>
    <t>2d70f9ea-3f64-4e90-a17b-60131f8e5dd9</t>
  </si>
  <si>
    <t>Lekha Sanghvi</t>
  </si>
  <si>
    <t>386125421772</t>
  </si>
  <si>
    <t>45e015e9-529a-4dbc-aa22-bd884f862cfb</t>
  </si>
  <si>
    <t>Anjali Sha</t>
  </si>
  <si>
    <t>462363293377</t>
  </si>
  <si>
    <t>a9cab964-9c21-4222-a97b-b819189760c8</t>
  </si>
  <si>
    <t>Pooja Dhawan</t>
  </si>
  <si>
    <t>283341172763</t>
  </si>
  <si>
    <t>cd8b163a-76af-4fd5-b4db-7ee8c10f2740</t>
  </si>
  <si>
    <t>Kamya Devan</t>
  </si>
  <si>
    <t>605459164624</t>
  </si>
  <si>
    <t>22ef1a08-9c7d-4e83-8285-1ed7d239427d</t>
  </si>
  <si>
    <t>Damyanti Sem</t>
  </si>
  <si>
    <t>198565706740</t>
  </si>
  <si>
    <t>fd826b0b-4f6b-4196-84fb-35e01ade296e</t>
  </si>
  <si>
    <t>Jagat Palan</t>
  </si>
  <si>
    <t>261191347516</t>
  </si>
  <si>
    <t>b842ae50-92ae-4023-bfd9-e63d7e2929f5</t>
  </si>
  <si>
    <t>Nathan Ramanathan</t>
  </si>
  <si>
    <t>263661783529</t>
  </si>
  <si>
    <t>c5b0d5c9-86df-49f6-bc07-f803d251b237</t>
  </si>
  <si>
    <t>Pranit Kota</t>
  </si>
  <si>
    <t>909642409332</t>
  </si>
  <si>
    <t>fa69c03c-9edd-4473-8121-27f573f16d78</t>
  </si>
  <si>
    <t>Vasatika Bali</t>
  </si>
  <si>
    <t>947252500435</t>
  </si>
  <si>
    <t>67de4bfc-4c7f-499e-9a31-4e8237466412</t>
  </si>
  <si>
    <t>Pranav Sastry</t>
  </si>
  <si>
    <t>503389519825</t>
  </si>
  <si>
    <t>df53fecd-e53d-4605-98a4-4d72ac476231</t>
  </si>
  <si>
    <t>Niharika Deo</t>
  </si>
  <si>
    <t>707425693401</t>
  </si>
  <si>
    <t>b3834752-78e5-4a8d-80a4-5004976b843d</t>
  </si>
  <si>
    <t>Yashvi Tiwari</t>
  </si>
  <si>
    <t>775725282488</t>
  </si>
  <si>
    <t>4479e679-a33e-4d38-9d8c-ee4bef857888</t>
  </si>
  <si>
    <t>Harinakshi Sarin</t>
  </si>
  <si>
    <t>396619643095</t>
  </si>
  <si>
    <t>82d27e6c-ca21-4345-ad95-1c2d1d8cc2b8</t>
  </si>
  <si>
    <t>Quincy Lata</t>
  </si>
  <si>
    <t>662042689096</t>
  </si>
  <si>
    <t>6b11103c-2794-42e9-a431-b9d2a5bc2f58</t>
  </si>
  <si>
    <t>Alexander Bhasin</t>
  </si>
  <si>
    <t>174971552064</t>
  </si>
  <si>
    <t>0670a0af-3684-45b5-944c-a1240ad93777</t>
  </si>
  <si>
    <t>Baghyawati Dhar</t>
  </si>
  <si>
    <t>718917028742</t>
  </si>
  <si>
    <t>db8a8b09-2360-4782-ad32-0bccb0c3849a</t>
  </si>
  <si>
    <t>Amaira Kumer</t>
  </si>
  <si>
    <t>676729996656</t>
  </si>
  <si>
    <t>46887369-ea19-4d02-9272-c1079149f484</t>
  </si>
  <si>
    <t>Widisha Sharaf</t>
  </si>
  <si>
    <t>667714778462</t>
  </si>
  <si>
    <t>008941c4-8a49-4825-83dd-0454dd44f0eb</t>
  </si>
  <si>
    <t>Tanveer Amble</t>
  </si>
  <si>
    <t>733606955563</t>
  </si>
  <si>
    <t>a49f7c15-53ca-40fa-a6d4-fd6ec24ac5a4</t>
  </si>
  <si>
    <t>Balveer Mitra</t>
  </si>
  <si>
    <t>360522614619</t>
  </si>
  <si>
    <t>c64fc8d9-5ddb-4bfb-9893-3df6ffba70ff</t>
  </si>
  <si>
    <t>Ekani Tandon</t>
  </si>
  <si>
    <t>175860036084</t>
  </si>
  <si>
    <t>2b38f268-060f-4ee7-aaed-715627975c3c</t>
  </si>
  <si>
    <t>Kavya Sharaf</t>
  </si>
  <si>
    <t>260103738581</t>
  </si>
  <si>
    <t>d01f2f12-3fbf-4df7-be53-ecfd417f9f81</t>
  </si>
  <si>
    <t>Anmol Uppal</t>
  </si>
  <si>
    <t>696398414197</t>
  </si>
  <si>
    <t>d8661fb5-0a6d-4308-ba8b-3206239f7053</t>
  </si>
  <si>
    <t>Xavier Basu</t>
  </si>
  <si>
    <t>493757512103</t>
  </si>
  <si>
    <t>f0854809-469d-4aa2-8877-57ce3be1ae32</t>
  </si>
  <si>
    <t>Owen Bedi</t>
  </si>
  <si>
    <t>653060642611</t>
  </si>
  <si>
    <t>4b910742-e1a3-445b-a49c-c35dbc224f18</t>
  </si>
  <si>
    <t>Eiravati Seshadri</t>
  </si>
  <si>
    <t>881453879458</t>
  </si>
  <si>
    <t>18e83ed5-fb9f-47d6-8d6f-e21a5f10c760</t>
  </si>
  <si>
    <t>Henry Nigam</t>
  </si>
  <si>
    <t>591674302857</t>
  </si>
  <si>
    <t>c0f7f61f-19f4-424c-8e8b-abc5cf179dee</t>
  </si>
  <si>
    <t>Hemani Dutta</t>
  </si>
  <si>
    <t>989318539943</t>
  </si>
  <si>
    <t>5c87a320-c89c-4674-8502-f6511e18df66</t>
  </si>
  <si>
    <t>Yasti Nayak</t>
  </si>
  <si>
    <t>223709347082</t>
  </si>
  <si>
    <t>ac69a0e2-05d0-4c12-986a-f858525e8ea5</t>
  </si>
  <si>
    <t>Balendra Dalal</t>
  </si>
  <si>
    <t>798399336730</t>
  </si>
  <si>
    <t>d45f6bc3-afa4-4393-aec4-14d5861812f6</t>
  </si>
  <si>
    <t>Lekha Karnik</t>
  </si>
  <si>
    <t>791330814917</t>
  </si>
  <si>
    <t>3dc46824-4258-4f52-9f0d-83fc957e1dac</t>
  </si>
  <si>
    <t>Brinda Desai</t>
  </si>
  <si>
    <t>135190882700</t>
  </si>
  <si>
    <t>41e87e1b-efd7-416a-80e8-0ad3fd1b51b5</t>
  </si>
  <si>
    <t>Elijah Basak</t>
  </si>
  <si>
    <t>470200000951</t>
  </si>
  <si>
    <t>ecc98c30-bce3-4ea5-9468-d5079d20c6ab</t>
  </si>
  <si>
    <t>Barkha Naidu</t>
  </si>
  <si>
    <t>501001062311</t>
  </si>
  <si>
    <t>921d94f9-6659-46af-8cf0-a625f5832354</t>
  </si>
  <si>
    <t>Yachana Mitra</t>
  </si>
  <si>
    <t>878851872657</t>
  </si>
  <si>
    <t>0a9ba1d9-8997-4fd8-b708-3e212e9d1bf8</t>
  </si>
  <si>
    <t>Raksha Kari</t>
  </si>
  <si>
    <t>474125754877</t>
  </si>
  <si>
    <t>da04b4a4-bd1a-47fc-a0c3-e49f80474726</t>
  </si>
  <si>
    <t>Ikshita Kakar</t>
  </si>
  <si>
    <t>498653114225</t>
  </si>
  <si>
    <t>58ba2c7d-a5c8-4c65-92cf-502984a4d920</t>
  </si>
  <si>
    <t>Gaurika Bora</t>
  </si>
  <si>
    <t>638707911830</t>
  </si>
  <si>
    <t>43ab919b-075d-468c-9289-c249ab26e303</t>
  </si>
  <si>
    <t>Aachal Dugar</t>
  </si>
  <si>
    <t>255848490692</t>
  </si>
  <si>
    <t>71fe5e20-3b03-4d71-a19c-7b01e72b2060</t>
  </si>
  <si>
    <t>Anjali Goel</t>
  </si>
  <si>
    <t>539041777767</t>
  </si>
  <si>
    <t>c01df7b7-8d57-49be-a6c3-da9ec76c57b9</t>
  </si>
  <si>
    <t>Fitan Sane</t>
  </si>
  <si>
    <t>845243604313</t>
  </si>
  <si>
    <t>45b01479-6eff-4cee-a2f9-696058ad7009</t>
  </si>
  <si>
    <t>Anusha Vora</t>
  </si>
  <si>
    <t>810813549197</t>
  </si>
  <si>
    <t>ffa190dc-c994-4c45-a1eb-cb209b2ebbb1</t>
  </si>
  <si>
    <t>Dayita Ramaswamy</t>
  </si>
  <si>
    <t>185744473826</t>
  </si>
  <si>
    <t>ba8cc2a0-72f9-4af0-a25c-10dc5fb46723</t>
  </si>
  <si>
    <t>Nitesh Dixit</t>
  </si>
  <si>
    <t>370264472621</t>
  </si>
  <si>
    <t>07cb6eb5-2458-481f-a7aa-f9a008ee50fd</t>
  </si>
  <si>
    <t>Urmi Mand</t>
  </si>
  <si>
    <t>268731699044</t>
  </si>
  <si>
    <t>83d5d145-91fd-4284-85fb-df20b2bd9cda</t>
  </si>
  <si>
    <t>Nikita Bahl</t>
  </si>
  <si>
    <t>929691446167</t>
  </si>
  <si>
    <t>82a3acd6-51f2-4f4f-afba-7466d0e26900</t>
  </si>
  <si>
    <t>Krishna Sangha</t>
  </si>
  <si>
    <t>137391799979</t>
  </si>
  <si>
    <t>6c097541-7505-4d8e-af7c-e03109afddaa</t>
  </si>
  <si>
    <t>Geetika Dewan</t>
  </si>
  <si>
    <t>206574366417</t>
  </si>
  <si>
    <t>b4a94ddf-a56e-40d7-9e50-dacb94568608</t>
  </si>
  <si>
    <t>Triya Tailor</t>
  </si>
  <si>
    <t>886848235656</t>
  </si>
  <si>
    <t>9f850170-6285-4c62-8ae0-bf705d906b8c</t>
  </si>
  <si>
    <t>Vedhika Kaur</t>
  </si>
  <si>
    <t>399275894137</t>
  </si>
  <si>
    <t>e5f5ef5d-f9d7-4c25-b368-522839d0d5a6</t>
  </si>
  <si>
    <t>Chanchal Sundaram</t>
  </si>
  <si>
    <t>790847728908</t>
  </si>
  <si>
    <t>c68b06d9-e5db-4c81-b415-199c0ce1e958</t>
  </si>
  <si>
    <t>Shivani Anne</t>
  </si>
  <si>
    <t>920735094027</t>
  </si>
  <si>
    <t>1beec98a-5e6d-41bd-90ce-bff81349e433</t>
  </si>
  <si>
    <t>Ucchal Char</t>
  </si>
  <si>
    <t>985849548224</t>
  </si>
  <si>
    <t>2f938a4a-693c-48b0-82e4-cae33ae1b44f</t>
  </si>
  <si>
    <t>Dhruv Koshy</t>
  </si>
  <si>
    <t>843965511244</t>
  </si>
  <si>
    <t>f824ccb4-9a6a-4f97-9580-1034366e2254</t>
  </si>
  <si>
    <t>Yatan Kumar</t>
  </si>
  <si>
    <t>737028625937</t>
  </si>
  <si>
    <t>92f91276-98fd-4323-9cc3-afc6807a3ebd</t>
  </si>
  <si>
    <t>Udarsh Gill</t>
  </si>
  <si>
    <t>680174339647</t>
  </si>
  <si>
    <t>7d162873-fca8-4ed0-9f5c-e105f362e46a</t>
  </si>
  <si>
    <t>Chanakya Bora</t>
  </si>
  <si>
    <t>913958837565</t>
  </si>
  <si>
    <t>5aa1aec2-a038-4355-83f0-766de52a326e</t>
  </si>
  <si>
    <t>Harinakshi Dhillon</t>
  </si>
  <si>
    <t>653731524065</t>
  </si>
  <si>
    <t>d35f18d6-9da9-4d7f-ac7e-5ec8d4a166b0</t>
  </si>
  <si>
    <t>Yash Dayal</t>
  </si>
  <si>
    <t>847891210164</t>
  </si>
  <si>
    <t>5c7282bd-5c83-47cb-b193-af980aef3d40</t>
  </si>
  <si>
    <t>Warinder Mitra</t>
  </si>
  <si>
    <t>214912003953</t>
  </si>
  <si>
    <t>299447f2-980a-4320-87c1-ab9507c9a31b</t>
  </si>
  <si>
    <t>Arunima Babu</t>
  </si>
  <si>
    <t>160325421103</t>
  </si>
  <si>
    <t>ca2ee6e5-d177-4a9b-b721-0f121c1465e3</t>
  </si>
  <si>
    <t>Hardik Kuruvilla</t>
  </si>
  <si>
    <t>602975157401</t>
  </si>
  <si>
    <t>a12a3df2-5748-41ab-900b-21406907274b</t>
  </si>
  <si>
    <t>Ishanvi Sandhu</t>
  </si>
  <si>
    <t>942224459011</t>
  </si>
  <si>
    <t>ba5a48d2-0a03-4ce2-abfe-2bb9430b4091</t>
  </si>
  <si>
    <t>Kabir Dass</t>
  </si>
  <si>
    <t>834218669029</t>
  </si>
  <si>
    <t>275c623b-a695-4b65-9a15-9bd3840423af</t>
  </si>
  <si>
    <t>Yoshita Sangha</t>
  </si>
  <si>
    <t>554908105827</t>
  </si>
  <si>
    <t>c3e92ea6-7f4d-4809-9b6b-484eb4becf16</t>
  </si>
  <si>
    <t>Aditya Pai</t>
  </si>
  <si>
    <t>815919059377</t>
  </si>
  <si>
    <t>efb38392-57e0-4184-993e-c125541e0ec1</t>
  </si>
  <si>
    <t>Unnati Singh</t>
  </si>
  <si>
    <t>634833077589</t>
  </si>
  <si>
    <t>9d35eeff-099b-46b0-bc79-ab84a4d619a1</t>
  </si>
  <si>
    <t>Radhika Sharaf</t>
  </si>
  <si>
    <t>681386364839</t>
  </si>
  <si>
    <t>92f1d852-4efa-4885-aaf6-807bcd973ff3</t>
  </si>
  <si>
    <t>Diya Babu</t>
  </si>
  <si>
    <t>339699282348</t>
  </si>
  <si>
    <t>0451a136-3810-4056-b1b4-c2231fd8d1bf</t>
  </si>
  <si>
    <t>Jyoti Bansal</t>
  </si>
  <si>
    <t>634498445905</t>
  </si>
  <si>
    <t>6bbd4eef-0271-42d5-ae26-5876c703d8a7</t>
  </si>
  <si>
    <t>Abeer Chandran</t>
  </si>
  <si>
    <t>574613910418</t>
  </si>
  <si>
    <t>9e2ffa47-be09-480b-8f00-e296267559c2</t>
  </si>
  <si>
    <t>Radha Viswanathan</t>
  </si>
  <si>
    <t>712831351149</t>
  </si>
  <si>
    <t>44640ef4-7388-473f-a132-c5cf461a1083</t>
  </si>
  <si>
    <t>Christopher Dhawan</t>
  </si>
  <si>
    <t>925585552693</t>
  </si>
  <si>
    <t>30b2b1bc-53e4-4de2-ac35-e90bd0f8a513</t>
  </si>
  <si>
    <t>Bhavani Ahluwalia</t>
  </si>
  <si>
    <t>503095894291</t>
  </si>
  <si>
    <t>4a508b4e-5255-4703-aa67-84374ea274fe</t>
  </si>
  <si>
    <t>Niharika Lata</t>
  </si>
  <si>
    <t>455614151118</t>
  </si>
  <si>
    <t>21daae4d-64ee-43d4-8ebe-e1176c58d50c</t>
  </si>
  <si>
    <t>Samuel Sama</t>
  </si>
  <si>
    <t>370100981708</t>
  </si>
  <si>
    <t>7dfbe37a-bdb3-4296-a581-83ac2f6e0c7f</t>
  </si>
  <si>
    <t>Samaksh Chatterjee</t>
  </si>
  <si>
    <t>265725559669</t>
  </si>
  <si>
    <t>dafddca5-a61e-46bd-a833-5319fb782d14</t>
  </si>
  <si>
    <t>Janaki Modi</t>
  </si>
  <si>
    <t>340570703401</t>
  </si>
  <si>
    <t>4d8c6406-8f65-46e9-9e65-5ac10a362dda</t>
  </si>
  <si>
    <t>Akshay Gera</t>
  </si>
  <si>
    <t>675036663044</t>
  </si>
  <si>
    <t>324c1fbc-8279-41eb-86c1-c52a62f0e37f</t>
  </si>
  <si>
    <t>Madhavi Rastogi</t>
  </si>
  <si>
    <t>605418878157</t>
  </si>
  <si>
    <t>962ec764-d6a1-4c61-bb31-b4f8886fc725</t>
  </si>
  <si>
    <t>Vyanjana Kapoor</t>
  </si>
  <si>
    <t>597626604290</t>
  </si>
  <si>
    <t>b68cce68-c2f3-47bf-b690-6ac34f32d961</t>
  </si>
  <si>
    <t>Mitesh Deep</t>
  </si>
  <si>
    <t>223152974785</t>
  </si>
  <si>
    <t>a7655a63-d6d3-4da8-afe9-3dc5dd2f31fd</t>
  </si>
  <si>
    <t>Kamya Rao</t>
  </si>
  <si>
    <t>862059035512</t>
  </si>
  <si>
    <t>1a4c4034-6388-40d0-b167-546b517312b8</t>
  </si>
  <si>
    <t>Megha Rau</t>
  </si>
  <si>
    <t>213803806556</t>
  </si>
  <si>
    <t>614c50b6-92ab-4a04-a782-8c4d424b0269</t>
  </si>
  <si>
    <t>Indrajit Rai</t>
  </si>
  <si>
    <t>619311161355</t>
  </si>
  <si>
    <t>a58f0802-524f-4a3f-ac24-b6a9e20dc3d2</t>
  </si>
  <si>
    <t>Charita Devan</t>
  </si>
  <si>
    <t>369238077065</t>
  </si>
  <si>
    <t>5810674f-451a-499e-ad42-c7f1a001e9f1</t>
  </si>
  <si>
    <t>Finn Shere</t>
  </si>
  <si>
    <t>507751770849</t>
  </si>
  <si>
    <t>a334f6ff-bf50-427b-843b-c8438970f3de</t>
  </si>
  <si>
    <t>Azaan Rai</t>
  </si>
  <si>
    <t>685732683411</t>
  </si>
  <si>
    <t>278f287f-bd53-467d-b15e-664b651afb6b</t>
  </si>
  <si>
    <t>Saumya Nayar</t>
  </si>
  <si>
    <t>105097624705</t>
  </si>
  <si>
    <t>dd6b57d8-c749-4cf0-844a-97e9621c3065</t>
  </si>
  <si>
    <t>Qarin Sarin</t>
  </si>
  <si>
    <t>453842146842</t>
  </si>
  <si>
    <t>822cfe1d-8c4e-4e82-9ca4-a4fa7a114b8b</t>
  </si>
  <si>
    <t>Theodore Chatterjee</t>
  </si>
  <si>
    <t>145261144154</t>
  </si>
  <si>
    <t>803f1543-4af1-46b4-87c9-c259bc66a2b4</t>
  </si>
  <si>
    <t>Vasudha Amble</t>
  </si>
  <si>
    <t>305188756174</t>
  </si>
  <si>
    <t>28edf12c-70c0-4170-8a96-1ac84fc06802</t>
  </si>
  <si>
    <t>Patrick Ghosh</t>
  </si>
  <si>
    <t>732483075544</t>
  </si>
  <si>
    <t>be8cba25-6b12-4f09-9d92-4b19f51fb456</t>
  </si>
  <si>
    <t>Dayita Choudhry</t>
  </si>
  <si>
    <t>630313159087</t>
  </si>
  <si>
    <t>3cee997a-53a8-4b6a-9615-9ad3b54a9bd1</t>
  </si>
  <si>
    <t>Vasudha Devan</t>
  </si>
  <si>
    <t>233652635234</t>
  </si>
  <si>
    <t>f9a510c1-b499-4c30-8a72-14a4ce464b75</t>
  </si>
  <si>
    <t>Aishani Vyas</t>
  </si>
  <si>
    <t>649264358079</t>
  </si>
  <si>
    <t>f7f95628-7c4b-43cf-9d5e-7e7953b824ae</t>
  </si>
  <si>
    <t>Madhavi Singhal</t>
  </si>
  <si>
    <t>781500218179</t>
  </si>
  <si>
    <t>1b8301b2-7274-406a-8194-791d8161de7a</t>
  </si>
  <si>
    <t>Ubika Nath</t>
  </si>
  <si>
    <t>475332694595</t>
  </si>
  <si>
    <t>c08c6094-ae34-4278-90fb-db662f456223</t>
  </si>
  <si>
    <t>Dalbir Mangal</t>
  </si>
  <si>
    <t>726753454826</t>
  </si>
  <si>
    <t>c2a3120c-c1d5-4bad-a056-afc547404e11</t>
  </si>
  <si>
    <t>Zaitra Mohan</t>
  </si>
  <si>
    <t>190826722420</t>
  </si>
  <si>
    <t>96b75d8a-2708-4526-a962-c87d5b739009</t>
  </si>
  <si>
    <t>Ishanvi Mishra</t>
  </si>
  <si>
    <t>544604573240</t>
  </si>
  <si>
    <t>fd5222a7-1493-463d-bf80-88e383187034</t>
  </si>
  <si>
    <t>Om Johal</t>
  </si>
  <si>
    <t>838735243503</t>
  </si>
  <si>
    <t>b684b3bd-57d3-4e8a-87a2-241e524ca14d</t>
  </si>
  <si>
    <t>Vasatika Suresh</t>
  </si>
  <si>
    <t>139729440036</t>
  </si>
  <si>
    <t>11e72490-3699-434a-bb21-38b0a3320051</t>
  </si>
  <si>
    <t>Amara Agate</t>
  </si>
  <si>
    <t>656157267106</t>
  </si>
  <si>
    <t>6aacfcd4-c667-4557-87e5-8fcbf54322b5</t>
  </si>
  <si>
    <t>Vedant Parmar</t>
  </si>
  <si>
    <t>536963920814</t>
  </si>
  <si>
    <t>2204036d-6739-42de-bdeb-4b9459aeef44</t>
  </si>
  <si>
    <t>Shivani Soman</t>
  </si>
  <si>
    <t>754422929593</t>
  </si>
  <si>
    <t>2573febb-0a69-42fb-96f7-f33d0bc33238</t>
  </si>
  <si>
    <t>Abeer Nigam</t>
  </si>
  <si>
    <t>304550826056</t>
  </si>
  <si>
    <t>776fc75a-cbb9-4415-903e-2275e1ec2e11</t>
  </si>
  <si>
    <t>Nathaniel D’Alia</t>
  </si>
  <si>
    <t>841211888565</t>
  </si>
  <si>
    <t>5d633d05-bbd6-483e-9ab2-d85323cbd9f5</t>
  </si>
  <si>
    <t>Rishi Sachdeva</t>
  </si>
  <si>
    <t>537089530790</t>
  </si>
  <si>
    <t>5c9515b7-88be-4163-91ed-0b7522fe5cbe</t>
  </si>
  <si>
    <t>Ekalinga Balasubramanian</t>
  </si>
  <si>
    <t>944938346542</t>
  </si>
  <si>
    <t>9e976906-2364-4658-a3db-4aa509549217</t>
  </si>
  <si>
    <t>Bhavani Sahota</t>
  </si>
  <si>
    <t>674606333456</t>
  </si>
  <si>
    <t>5d3fca97-da26-4ce7-a2ac-303bb77b62a6</t>
  </si>
  <si>
    <t>Oscar Sodhi</t>
  </si>
  <si>
    <t>780902409708</t>
  </si>
  <si>
    <t>c617e071-9666-42b1-9ff2-1d13e7eadffc</t>
  </si>
  <si>
    <t>Sanaya Hayer</t>
  </si>
  <si>
    <t>441180444719</t>
  </si>
  <si>
    <t>b8034076-889f-40d0-89bb-bd0ff50badd4</t>
  </si>
  <si>
    <t>Oscar Chopra</t>
  </si>
  <si>
    <t>996618159017</t>
  </si>
  <si>
    <t>8d82e0ff-d498-41f5-abc8-d0d51a90acaa</t>
  </si>
  <si>
    <t>Fitan Batra</t>
  </si>
  <si>
    <t>337595113221</t>
  </si>
  <si>
    <t>05a098d9-d5a6-4e18-a943-93cdceb70263</t>
  </si>
  <si>
    <t>Om Master</t>
  </si>
  <si>
    <t>781431196996</t>
  </si>
  <si>
    <t>4eeb1037-a7dd-435e-beb4-fae724bd1d5b</t>
  </si>
  <si>
    <t>Bhavya Dugal</t>
  </si>
  <si>
    <t>670671711566</t>
  </si>
  <si>
    <t>7bf7ebb0-3e5a-48c4-a756-177f2b07de97</t>
  </si>
  <si>
    <t>Girish Karnik</t>
  </si>
  <si>
    <t>159475214466</t>
  </si>
  <si>
    <t>cea65048-a10c-450b-972e-ea0a14ce51b1</t>
  </si>
  <si>
    <t>Janaki Chhabra</t>
  </si>
  <si>
    <t>760895056386</t>
  </si>
  <si>
    <t>5339e31f-09e6-4e7f-8ab3-078df30e1ff7</t>
  </si>
  <si>
    <t>Shaurya Modi</t>
  </si>
  <si>
    <t>384501417224</t>
  </si>
  <si>
    <t>5b5896b2-9985-49a2-893d-5e4f9f7e5b6c</t>
  </si>
  <si>
    <t>Vanya Bhavsar</t>
  </si>
  <si>
    <t>582715807001</t>
  </si>
  <si>
    <t>85e31ce3-4e7f-4658-8ebc-d7526a417289</t>
  </si>
  <si>
    <t>Isha Majumdar</t>
  </si>
  <si>
    <t>908575564799</t>
  </si>
  <si>
    <t>72a7fb77-95af-4050-9c7a-b64e0b631f39</t>
  </si>
  <si>
    <t>Rachana Nigam</t>
  </si>
  <si>
    <t>975793031886</t>
  </si>
  <si>
    <t>7bde290d-4d03-4d38-bb02-5f405e687da4</t>
  </si>
  <si>
    <t>Waida Dora</t>
  </si>
  <si>
    <t>434355404660</t>
  </si>
  <si>
    <t>4850650e-6338-41a7-8bf3-44412affd0ed</t>
  </si>
  <si>
    <t>Tara Shukla</t>
  </si>
  <si>
    <t>788941069391</t>
  </si>
  <si>
    <t>0f221632-1b39-4bc1-920f-d7a8b0a0f123</t>
  </si>
  <si>
    <t>Chaaya Varty</t>
  </si>
  <si>
    <t>229471966150</t>
  </si>
  <si>
    <t>5ad8161e-0e01-4e89-9f7f-51d5ae5badea</t>
  </si>
  <si>
    <t>Arjun Mangal</t>
  </si>
  <si>
    <t>312934784546</t>
  </si>
  <si>
    <t>57cd1a24-61ec-4d05-917c-a047cc78fbae</t>
  </si>
  <si>
    <t>Ekiya Wali</t>
  </si>
  <si>
    <t>628667719492</t>
  </si>
  <si>
    <t>d9060ba1-b2b9-482a-a7ab-21da16486b2e</t>
  </si>
  <si>
    <t>Aachal Aggarwal</t>
  </si>
  <si>
    <t>800614144292</t>
  </si>
  <si>
    <t>cf252f01-63e8-49af-83fe-fe1525ddbb8e</t>
  </si>
  <si>
    <t>Dayita Nayak</t>
  </si>
  <si>
    <t>350731897846</t>
  </si>
  <si>
    <t>90692010-3651-4733-a049-dec982fe35c2</t>
  </si>
  <si>
    <t>Ganga Memon</t>
  </si>
  <si>
    <t>830198079057</t>
  </si>
  <si>
    <t>5dbe7d28-0511-42a3-b079-b2996c8e992a</t>
  </si>
  <si>
    <t>Harini Hari</t>
  </si>
  <si>
    <t>343430050066</t>
  </si>
  <si>
    <t>9e7936d0-467e-4708-8f15-8abd882678c3</t>
  </si>
  <si>
    <t>Vedhika Biswas</t>
  </si>
  <si>
    <t>340851237938</t>
  </si>
  <si>
    <t>aa0a8cf8-db4c-4471-8792-3548bb109781</t>
  </si>
  <si>
    <t>Leena Sawhney</t>
  </si>
  <si>
    <t>751158319736</t>
  </si>
  <si>
    <t>880e121c-4b2a-434a-85b6-e6c9807790bc</t>
  </si>
  <si>
    <t>Aarini Rai</t>
  </si>
  <si>
    <t>549818142528</t>
  </si>
  <si>
    <t>a95c41fe-d268-4188-87d2-1179339422ab</t>
  </si>
  <si>
    <t>Raksha Rao</t>
  </si>
  <si>
    <t>911510411130</t>
  </si>
  <si>
    <t>a3320f63-8cba-4550-85b7-2aeaa7d2e0c2</t>
  </si>
  <si>
    <t>Rayaan Nori</t>
  </si>
  <si>
    <t>378333556205</t>
  </si>
  <si>
    <t>585d740c-f99b-4c08-a18d-17a2d80fa0aa</t>
  </si>
  <si>
    <t>Utkarsh Mall</t>
  </si>
  <si>
    <t>143654336794</t>
  </si>
  <si>
    <t>50d15734-32f1-40cc-b86c-5b07dd415c11</t>
  </si>
  <si>
    <t>Tejas Basu</t>
  </si>
  <si>
    <t>582762750258</t>
  </si>
  <si>
    <t>928c9882-695f-4333-80f2-9ef069f30ba6</t>
  </si>
  <si>
    <t>Ijaya Vig</t>
  </si>
  <si>
    <t>331032149981</t>
  </si>
  <si>
    <t>0c90ce32-bc89-437b-8a06-575ecca1a9f8</t>
  </si>
  <si>
    <t>Abhimanyu Ravi</t>
  </si>
  <si>
    <t>990997552935</t>
  </si>
  <si>
    <t>1754dc94-573b-4cfe-aa4f-8016a39caaa4</t>
  </si>
  <si>
    <t>Xiti Bhatti</t>
  </si>
  <si>
    <t>289850951999</t>
  </si>
  <si>
    <t>e514cd44-0315-4c8b-8e8d-185f2fdf4980</t>
  </si>
  <si>
    <t>Edhitha Deshpande</t>
  </si>
  <si>
    <t>764425244728</t>
  </si>
  <si>
    <t>445a9325-68cc-4fc4-8d4f-f2bd31767d12</t>
  </si>
  <si>
    <t>Jonathan Bhat</t>
  </si>
  <si>
    <t>504085367461</t>
  </si>
  <si>
    <t>ed2aac8e-bdab-4a38-842b-0039618f205a</t>
  </si>
  <si>
    <t>Varsha Vaidya</t>
  </si>
  <si>
    <t>252386211751</t>
  </si>
  <si>
    <t>506c992d-ee39-408b-a0c0-edd1e9bc4e48</t>
  </si>
  <si>
    <t>Manthan Subramaniam</t>
  </si>
  <si>
    <t>732722911089</t>
  </si>
  <si>
    <t>2085a2e0-3f14-4c83-8faf-381a5570a035</t>
  </si>
  <si>
    <t>Daksha Raj</t>
  </si>
  <si>
    <t>450052315274</t>
  </si>
  <si>
    <t>b8ca5912-ff6e-496b-972a-7c7f8e0d5062</t>
  </si>
  <si>
    <t>Advika Dua</t>
  </si>
  <si>
    <t>617919454254</t>
  </si>
  <si>
    <t>9893579d-fba5-43fb-85b2-b1189d6bf32a</t>
  </si>
  <si>
    <t>Daksha Kamdar</t>
  </si>
  <si>
    <t>369866165241</t>
  </si>
  <si>
    <t>4c2c17fb-57cc-478b-9195-74975d4a9583</t>
  </si>
  <si>
    <t>Ekalinga Bawa</t>
  </si>
  <si>
    <t>238320682537</t>
  </si>
  <si>
    <t>d693559f-22c7-4d70-b7d7-1a57dc0eca8e</t>
  </si>
  <si>
    <t>Tristan Brar</t>
  </si>
  <si>
    <t>127631697094</t>
  </si>
  <si>
    <t>Fraud-flagged transactions (Is Fraud = Yes), sorted by amount</t>
  </si>
  <si>
    <t>Static extract of the Data sheet (equivalent to filtering Is Fraud = Yes). Re-filter the Data sheet if the source data changes.</t>
  </si>
  <si>
    <t>Total flagged</t>
  </si>
  <si>
    <t>Total value (₹)</t>
  </si>
  <si>
    <t>Step 2 – Data Cleaning &amp; Validation Log</t>
  </si>
  <si>
    <t>Results are live formulas against the Data sheet. PASS = no action needed.</t>
  </si>
  <si>
    <t>Check</t>
  </si>
  <si>
    <t>Result</t>
  </si>
  <si>
    <t>Expected</t>
  </si>
  <si>
    <t>Action / Note</t>
  </si>
  <si>
    <t>Rows in dataset</t>
  </si>
  <si>
    <t>Informational</t>
  </si>
  <si>
    <t>500 transactions loaded.</t>
  </si>
  <si>
    <t>Duplicate Transaction IDs</t>
  </si>
  <si>
    <t>No duplicates found, so no rows removed.</t>
  </si>
  <si>
    <t>Blank cells in source columns A:O</t>
  </si>
  <si>
    <t>No missing amounts, statuses or flags; nothing to impute.</t>
  </si>
  <si>
    <t>Transaction Amount ≤ 0</t>
  </si>
  <si>
    <t>All amounts positive.</t>
  </si>
  <si>
    <t>Status values outside Completed/Failed/Reversed/Pending</t>
  </si>
  <si>
    <t>No unknown statuses.</t>
  </si>
  <si>
    <t>Is Fraud values outside Yes/No</t>
  </si>
  <si>
    <t>Flag column is clean.</t>
  </si>
  <si>
    <t>Region names with inconsistent case/spacing</t>
  </si>
  <si>
    <t>Names already standardised.</t>
  </si>
  <si>
    <t>City names with inconsistent case/spacing</t>
  </si>
  <si>
    <t>Branch names with inconsistent case/spacing</t>
  </si>
  <si>
    <t>No 'DELHI' vs 'Delhi' style variants; names were trimmed anyway.</t>
  </si>
  <si>
    <t>Branch Name ≠ City + ' Branch'</t>
  </si>
  <si>
    <t>Branch and City always agree (25 branches).</t>
  </si>
  <si>
    <t>year_month blank in source file</t>
  </si>
  <si>
    <t>Fixed</t>
  </si>
  <si>
    <t>Column was empty in the upload. Rebuilt as =TEXT(date,"yyyy-mm") (Data!P).</t>
  </si>
  <si>
    <t>Account Number stored as number</t>
  </si>
  <si>
    <t>Converted to text so 12-digit IDs never show as 7.48643E+11 in Excel.</t>
  </si>
  <si>
    <t>Fraud_Flag disagrees with Is Fraud</t>
  </si>
  <si>
    <t>Fraud_Flag (1/0) is derived from Is Fraud, so they must always agree.</t>
  </si>
  <si>
    <t>Transaction Category = Unknown</t>
  </si>
  <si>
    <t>Every Payment Mode maps to Digital, Card-Based or Cash-Based.</t>
  </si>
  <si>
    <t>Customer Type = Frequent</t>
  </si>
  <si>
    <t>Every Customer ID appears once, so all customers are One-Time. The column works but cannot segment this dataset.</t>
  </si>
  <si>
    <t>Derived columns added</t>
  </si>
  <si>
    <t>Added</t>
  </si>
  <si>
    <t>Year, Month Start, Fraud_Flag, Transaction Category, Customer Type (Data!Q:U), all formulas.</t>
  </si>
  <si>
    <t>Blue = hardcoded value recorded from inspecting the original upload (not recomputable once fixed).</t>
  </si>
  <si>
    <t>Observation (not changed): Transaction Type and Payment Mode appear independent (e.g. 'Online Transfer' paid by Cash, 'Cheque' paid by UPI). Likely synthetic data; kept as-is.</t>
  </si>
  <si>
    <t>Step 1 – Data Understanding</t>
  </si>
  <si>
    <t>Column</t>
  </si>
  <si>
    <t>Data Type</t>
  </si>
  <si>
    <t>Field Class</t>
  </si>
  <si>
    <t>Business Relevance</t>
  </si>
  <si>
    <t>Text (UUID)</t>
  </si>
  <si>
    <t>Transactional</t>
  </si>
  <si>
    <t>Unique key; used for de-duplication</t>
  </si>
  <si>
    <t>Integer</t>
  </si>
  <si>
    <t>Customer-level</t>
  </si>
  <si>
    <t>Links activity to a customer</t>
  </si>
  <si>
    <t>Text</t>
  </si>
  <si>
    <t>Account holder (personal data; restrict sharing)</t>
  </si>
  <si>
    <t>Text (12 digits)</t>
  </si>
  <si>
    <t>Account identifier; must be stored as text</t>
  </si>
  <si>
    <t>Categorical</t>
  </si>
  <si>
    <t>North / South / East / West / Central roll-up</t>
  </si>
  <si>
    <t>City of the branch</t>
  </si>
  <si>
    <t>'&lt;City&gt; Branch'; unit for volume and fraud ranking</t>
  </si>
  <si>
    <t>Savings / Current / Fixed Deposit / Recurring Deposit</t>
  </si>
  <si>
    <t>Deposit / Withdrawal / Online Transfer / Cheque</t>
  </si>
  <si>
    <t>Decimal (₹)</t>
  </si>
  <si>
    <t>Transaction value; main volume measure</t>
  </si>
  <si>
    <t>Used as the CHANNEL field: UPI, Debit Card, Credit Card, Net Banking, Cash</t>
  </si>
  <si>
    <t>Date</t>
  </si>
  <si>
    <t>Basis for monthly trend</t>
  </si>
  <si>
    <t>Completed / Pending / Failed / Reversed</t>
  </si>
  <si>
    <t>Account balance after posting</t>
  </si>
  <si>
    <t>Yes / No</t>
  </si>
  <si>
    <t>Suspected fraud flag</t>
  </si>
  <si>
    <t>Derived</t>
  </si>
  <si>
    <t>yyyy-mm; rebuilt from Transaction Date</t>
  </si>
  <si>
    <t>Helper for the Year filter</t>
  </si>
  <si>
    <t>First day of month; key for monthly trend</t>
  </si>
  <si>
    <t>Integer 1/0</t>
  </si>
  <si>
    <t>1 when Is Fraud = Yes; lets fraud be summed and averaged</t>
  </si>
  <si>
    <t>From Payment Mode: Digital (UPI, Net Banking), Card-Based (Debit, Credit), Cash-Based (Cash)</t>
  </si>
  <si>
    <t>Frequent if the Customer ID has more than 1 transaction, else One-Time</t>
  </si>
  <si>
    <t>Differences from the case-study field list</t>
  </si>
  <si>
    <t>• No separate 'Channel' column: Payment Mode (UPI, Debit/Credit Card, Net Banking, Cash) is used as the channel. ATM, Branch and Mobile App channels are not in this data.</t>
  </si>
  <si>
    <t>• Transaction Type has Deposit, Withdrawal, Online Transfer and Cheque (there is no plain 'Transfer'). Online Transfer is treated as the transfer category.</t>
  </si>
  <si>
    <t>• Region has 5 values (no North-East); Guwahati is mapped to East. Branch Name is '&lt;City&gt; Branch' (25 branches), not 'Delhi CP'-style names.</t>
  </si>
  <si>
    <t>• Account Type has Savings, Current, Fixed Deposit and Recurring Deposit.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</si>
</sst>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0.00&quot; Cr&quot;"/>
    <numFmt numFmtId="165" formatCode="\₹#,##0"/>
    <numFmt numFmtId="166" formatCode="0.0%"/>
    <numFmt numFmtId="167" formatCode="mmm\-yy"/>
    <numFmt numFmtId="168" formatCode="yyyy\-mm\-dd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b/>
      <sz val="11"/>
      <color rgb="FF0000FF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b/>
      <sz val="20"/>
      <color rgb="FF1F3A5F"/>
      <name val="Arial"/>
      <family val="2"/>
    </font>
    <font>
      <b/>
      <sz val="20"/>
      <color rgb="FFC0392B"/>
      <name val="Arial"/>
      <family val="2"/>
    </font>
    <font>
      <b/>
      <sz val="20"/>
      <color rgb="FF2A9D8F"/>
      <name val="Arial"/>
      <family val="2"/>
    </font>
    <font>
      <b/>
      <sz val="20"/>
      <color rgb="FFE9A23B"/>
      <name val="Arial"/>
      <family val="2"/>
    </font>
    <font>
      <b/>
      <sz val="20"/>
      <color rgb="FFE76F51"/>
      <name val="Arial"/>
      <family val="2"/>
    </font>
    <font>
      <b/>
      <sz val="20"/>
      <color rgb="FF8D99AE"/>
      <name val="Arial"/>
      <family val="2"/>
    </font>
    <font>
      <b/>
      <sz val="14"/>
      <color rgb="FF1F3A5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1F3A5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4F7A"/>
        <bgColor rgb="FF1F3A5F"/>
      </patternFill>
    </fill>
    <fill>
      <patternFill patternType="solid">
        <fgColor rgb="FFFFF2CC"/>
        <bgColor rgb="FFF9F9F9"/>
      </patternFill>
    </fill>
    <fill>
      <patternFill patternType="solid">
        <fgColor rgb="FFC0392B"/>
        <bgColor rgb="FF993366"/>
      </patternFill>
    </fill>
    <fill>
      <patternFill patternType="solid">
        <fgColor rgb="FFEEF2F7"/>
        <bgColor rgb="FFF9F9F9"/>
      </patternFill>
    </fill>
    <fill>
      <patternFill patternType="solid">
        <fgColor rgb="FF2A9D8F"/>
        <bgColor rgb="FF008080"/>
      </patternFill>
    </fill>
    <fill>
      <patternFill patternType="solid">
        <fgColor rgb="FFE9A23B"/>
        <bgColor rgb="FFFFCC00"/>
      </patternFill>
    </fill>
    <fill>
      <patternFill patternType="solid">
        <fgColor rgb="FFE76F51"/>
        <bgColor rgb="FFFF6600"/>
      </patternFill>
    </fill>
    <fill>
      <patternFill patternType="solid">
        <fgColor rgb="FF8D99AE"/>
        <bgColor rgb="FF878787"/>
      </patternFill>
    </fill>
  </fills>
  <borders count="2">
    <border>
      <left/>
      <right/>
      <top/>
      <bottom/>
      <diagonal/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4" fillId="4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5" fillId="0" borderId="0" xfId="0" applyFont="1"/>
    <xf numFmtId="3" fontId="16" fillId="4" borderId="0" xfId="0" applyNumberFormat="1" applyFont="1" applyFill="1"/>
    <xf numFmtId="0" fontId="17" fillId="0" borderId="0" xfId="0" applyFont="1"/>
    <xf numFmtId="0" fontId="15" fillId="0" borderId="1" xfId="0" applyFont="1" applyBorder="1"/>
    <xf numFmtId="3" fontId="15" fillId="0" borderId="1" xfId="0" applyNumberFormat="1" applyFont="1" applyBorder="1"/>
    <xf numFmtId="166" fontId="15" fillId="0" borderId="1" xfId="0" applyNumberFormat="1" applyFont="1" applyBorder="1"/>
    <xf numFmtId="0" fontId="3" fillId="6" borderId="1" xfId="0" applyFont="1" applyFill="1" applyBorder="1"/>
    <xf numFmtId="3" fontId="3" fillId="6" borderId="1" xfId="0" applyNumberFormat="1" applyFont="1" applyFill="1" applyBorder="1"/>
    <xf numFmtId="166" fontId="3" fillId="6" borderId="1" xfId="0" applyNumberFormat="1" applyFont="1" applyFill="1" applyBorder="1"/>
    <xf numFmtId="167" fontId="15" fillId="0" borderId="1" xfId="0" applyNumberFormat="1" applyFont="1" applyBorder="1"/>
    <xf numFmtId="0" fontId="15" fillId="6" borderId="1" xfId="0" applyFont="1" applyFill="1" applyBorder="1"/>
    <xf numFmtId="4" fontId="15" fillId="0" borderId="0" xfId="0" applyNumberFormat="1" applyFont="1"/>
    <xf numFmtId="168" fontId="15" fillId="0" borderId="0" xfId="0" applyNumberFormat="1" applyFont="1"/>
    <xf numFmtId="167" fontId="15" fillId="0" borderId="0" xfId="0" applyNumberFormat="1" applyFont="1"/>
    <xf numFmtId="4" fontId="15" fillId="0" borderId="1" xfId="0" applyNumberFormat="1" applyFont="1" applyBorder="1"/>
    <xf numFmtId="168" fontId="15" fillId="0" borderId="1" xfId="0" applyNumberFormat="1" applyFont="1" applyBorder="1"/>
    <xf numFmtId="4" fontId="3" fillId="0" borderId="0" xfId="0" applyNumberFormat="1" applyFont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/>
    </xf>
    <xf numFmtId="0" fontId="6" fillId="10" borderId="0" xfId="0" applyFont="1" applyFill="1" applyAlignment="1">
      <alignment horizontal="center" vertical="center"/>
    </xf>
    <xf numFmtId="166" fontId="9" fillId="6" borderId="0" xfId="0" applyNumberFormat="1" applyFont="1" applyFill="1" applyAlignment="1">
      <alignment horizontal="center" vertical="center"/>
    </xf>
    <xf numFmtId="166" fontId="10" fillId="6" borderId="0" xfId="0" applyNumberFormat="1" applyFont="1" applyFill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166" fontId="12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C0392B"/>
        <name val="Arial"/>
        <charset val="1"/>
      </font>
    </dxf>
    <dxf>
      <font>
        <b/>
        <color rgb="FF1E7B34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C9D6"/>
      <rgbColor rgb="FF878787"/>
      <rgbColor rgb="FF9999FF"/>
      <rgbColor rgb="FF993366"/>
      <rgbColor rgb="FFFFF2CC"/>
      <rgbColor rgb="FFEEF2F7"/>
      <rgbColor rgb="FF660066"/>
      <rgbColor rgb="FFE76F51"/>
      <rgbColor rgb="FF0066CC"/>
      <rgbColor rgb="FFD5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9A23B"/>
      <rgbColor rgb="FFFF6600"/>
      <rgbColor rgb="FF666666"/>
      <rgbColor rgb="FF8D99AE"/>
      <rgbColor rgb="FF1F3A5F"/>
      <rgbColor rgb="FF2A9D8F"/>
      <rgbColor rgb="FF003300"/>
      <rgbColor rgb="FF333300"/>
      <rgbColor rgb="FFC0392B"/>
      <rgbColor rgb="FF993366"/>
      <rgbColor rgb="FF2E4F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Regional Transaction Volume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Analysis!$B$8:$B$12</c:f>
              <c:numCache>
                <c:formatCode>#,##0</c:formatCode>
                <c:ptCount val="5"/>
                <c:pt idx="0">
                  <c:v>98</c:v>
                </c:pt>
                <c:pt idx="1">
                  <c:v>94</c:v>
                </c:pt>
                <c:pt idx="2">
                  <c:v>110</c:v>
                </c:pt>
                <c:pt idx="3">
                  <c:v>97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E-4208-8DFE-FB6C34CF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2014911"/>
        <c:axId val="68923956"/>
      </c:barChart>
      <c:catAx>
        <c:axId val="9201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923956"/>
        <c:crosses val="autoZero"/>
        <c:auto val="1"/>
        <c:lblAlgn val="ctr"/>
        <c:lblOffset val="100"/>
        <c:noMultiLvlLbl val="0"/>
      </c:catAx>
      <c:valAx>
        <c:axId val="68923956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14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Transaction Trend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Analysis!$C$69</c:f>
              <c:strCache>
                <c:ptCount val="1"/>
                <c:pt idx="0">
                  <c:v>Txn Count</c:v>
                </c:pt>
              </c:strCache>
            </c:strRef>
          </c:tx>
          <c:spPr>
            <a:ln w="28080">
              <a:solidFill>
                <a:srgbClr val="2A9D8F"/>
              </a:solidFill>
              <a:round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Analysis!$B$70:$B$94</c:f>
              <c:strCache>
                <c:ptCount val="25"/>
                <c:pt idx="0">
                  <c:v>Jul 23</c:v>
                </c:pt>
                <c:pt idx="1">
                  <c:v>Aug 23</c:v>
                </c:pt>
                <c:pt idx="2">
                  <c:v>Sep 23</c:v>
                </c:pt>
                <c:pt idx="3">
                  <c:v>Oct 23</c:v>
                </c:pt>
                <c:pt idx="4">
                  <c:v>Nov 23</c:v>
                </c:pt>
                <c:pt idx="5">
                  <c:v>Dec 23</c:v>
                </c:pt>
                <c:pt idx="6">
                  <c:v>Jan 24</c:v>
                </c:pt>
                <c:pt idx="7">
                  <c:v>Feb 24</c:v>
                </c:pt>
                <c:pt idx="8">
                  <c:v>Mar 24</c:v>
                </c:pt>
                <c:pt idx="9">
                  <c:v>Apr 24</c:v>
                </c:pt>
                <c:pt idx="10">
                  <c:v>May 24</c:v>
                </c:pt>
                <c:pt idx="11">
                  <c:v>Jun 24</c:v>
                </c:pt>
                <c:pt idx="12">
                  <c:v>Jul 24</c:v>
                </c:pt>
                <c:pt idx="13">
                  <c:v>Aug 24</c:v>
                </c:pt>
                <c:pt idx="14">
                  <c:v>Sep 24</c:v>
                </c:pt>
                <c:pt idx="15">
                  <c:v>Oct 24</c:v>
                </c:pt>
                <c:pt idx="16">
                  <c:v>Nov 24</c:v>
                </c:pt>
                <c:pt idx="17">
                  <c:v>Dec 24</c:v>
                </c:pt>
                <c:pt idx="18">
                  <c:v>Jan 25</c:v>
                </c:pt>
                <c:pt idx="19">
                  <c:v>Feb 25</c:v>
                </c:pt>
                <c:pt idx="20">
                  <c:v>Mar 25</c:v>
                </c:pt>
                <c:pt idx="21">
                  <c:v>Apr 25</c:v>
                </c:pt>
                <c:pt idx="22">
                  <c:v>May 25</c:v>
                </c:pt>
                <c:pt idx="23">
                  <c:v>Jun 25</c:v>
                </c:pt>
                <c:pt idx="24">
                  <c:v>Jul 25</c:v>
                </c:pt>
              </c:strCache>
            </c:strRef>
          </c:cat>
          <c:val>
            <c:numRef>
              <c:f>Analysis!$C$70:$C$94</c:f>
              <c:numCache>
                <c:formatCode>#,##0</c:formatCode>
                <c:ptCount val="25"/>
                <c:pt idx="0">
                  <c:v>14</c:v>
                </c:pt>
                <c:pt idx="1">
                  <c:v>20</c:v>
                </c:pt>
                <c:pt idx="2">
                  <c:v>17</c:v>
                </c:pt>
                <c:pt idx="3">
                  <c:v>15</c:v>
                </c:pt>
                <c:pt idx="4">
                  <c:v>28</c:v>
                </c:pt>
                <c:pt idx="5">
                  <c:v>23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18</c:v>
                </c:pt>
                <c:pt idx="12">
                  <c:v>16</c:v>
                </c:pt>
                <c:pt idx="13">
                  <c:v>19</c:v>
                </c:pt>
                <c:pt idx="14">
                  <c:v>23</c:v>
                </c:pt>
                <c:pt idx="15">
                  <c:v>26</c:v>
                </c:pt>
                <c:pt idx="16">
                  <c:v>27</c:v>
                </c:pt>
                <c:pt idx="17">
                  <c:v>16</c:v>
                </c:pt>
                <c:pt idx="18">
                  <c:v>26</c:v>
                </c:pt>
                <c:pt idx="19">
                  <c:v>24</c:v>
                </c:pt>
                <c:pt idx="20">
                  <c:v>18</c:v>
                </c:pt>
                <c:pt idx="21">
                  <c:v>21</c:v>
                </c:pt>
                <c:pt idx="22">
                  <c:v>16</c:v>
                </c:pt>
                <c:pt idx="23">
                  <c:v>17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C-40B3-95C0-E38C92420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827750"/>
        <c:axId val="72271265"/>
      </c:lineChart>
      <c:catAx>
        <c:axId val="53827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71265"/>
        <c:crosses val="autoZero"/>
        <c:auto val="1"/>
        <c:lblAlgn val="ctr"/>
        <c:lblOffset val="100"/>
        <c:noMultiLvlLbl val="0"/>
      </c:catAx>
      <c:valAx>
        <c:axId val="7227126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27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 Usage (Payment Mode, % of txns)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Analysis!$B$17</c:f>
              <c:strCache>
                <c:ptCount val="1"/>
                <c:pt idx="0">
                  <c:v>Txn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43-4DE4-9CD7-9C65320BE2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43-4DE4-9CD7-9C65320BE2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43-4DE4-9CD7-9C65320BE2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43-4DE4-9CD7-9C65320BE2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643-4DE4-9CD7-9C65320BE2A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Analysis!$A$18:$A$22</c:f>
              <c:strCache>
                <c:ptCount val="5"/>
                <c:pt idx="0">
                  <c:v>UPI</c:v>
                </c:pt>
                <c:pt idx="1">
                  <c:v>Debit Card</c:v>
                </c:pt>
                <c:pt idx="2">
                  <c:v>Credit Card</c:v>
                </c:pt>
                <c:pt idx="3">
                  <c:v>Net Banking</c:v>
                </c:pt>
                <c:pt idx="4">
                  <c:v>Cash</c:v>
                </c:pt>
              </c:strCache>
            </c:strRef>
          </c:cat>
          <c:val>
            <c:numRef>
              <c:f>Analysis!$B$18:$B$22</c:f>
              <c:numCache>
                <c:formatCode>#,##0</c:formatCode>
                <c:ptCount val="5"/>
                <c:pt idx="0">
                  <c:v>94</c:v>
                </c:pt>
                <c:pt idx="1">
                  <c:v>128</c:v>
                </c:pt>
                <c:pt idx="2">
                  <c:v>100</c:v>
                </c:pt>
                <c:pt idx="3">
                  <c:v>80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43-4DE4-9CD7-9C65320BE2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 Type Breakdown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Analysis!$A$28:$A$31</c:f>
              <c:strCache>
                <c:ptCount val="4"/>
                <c:pt idx="0">
                  <c:v>Deposit</c:v>
                </c:pt>
                <c:pt idx="1">
                  <c:v>Online Transfer</c:v>
                </c:pt>
                <c:pt idx="2">
                  <c:v>Withdrawal</c:v>
                </c:pt>
                <c:pt idx="3">
                  <c:v>Cheque</c:v>
                </c:pt>
              </c:strCache>
            </c:strRef>
          </c:cat>
          <c:val>
            <c:numRef>
              <c:f>Analysis!$B$28:$B$31</c:f>
              <c:numCache>
                <c:formatCode>#,##0</c:formatCode>
                <c:ptCount val="4"/>
                <c:pt idx="0">
                  <c:v>140</c:v>
                </c:pt>
                <c:pt idx="1">
                  <c:v>136</c:v>
                </c:pt>
                <c:pt idx="2">
                  <c:v>116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6-466A-ADB3-D491FF98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340681"/>
        <c:axId val="55277197"/>
      </c:barChart>
      <c:catAx>
        <c:axId val="3234068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277197"/>
        <c:crosses val="autoZero"/>
        <c:auto val="1"/>
        <c:lblAlgn val="ctr"/>
        <c:lblOffset val="100"/>
        <c:noMultiLvlLbl val="0"/>
      </c:catAx>
      <c:valAx>
        <c:axId val="55277197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3406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 Status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Analysis!$B$36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280-42C5-979D-F9F54D422390}"/>
              </c:ext>
            </c:extLst>
          </c:dPt>
          <c:dPt>
            <c:idx val="1"/>
            <c:invertIfNegative val="0"/>
            <c:bubble3D val="0"/>
            <c:spPr>
              <a:solidFill>
                <a:srgbClr val="E9A2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280-42C5-979D-F9F54D422390}"/>
              </c:ext>
            </c:extLst>
          </c:dPt>
          <c:dPt>
            <c:idx val="2"/>
            <c:invertIfNegative val="0"/>
            <c:bubble3D val="0"/>
            <c:spPr>
              <a:solidFill>
                <a:srgbClr val="E76F5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280-42C5-979D-F9F54D422390}"/>
              </c:ext>
            </c:extLst>
          </c:dPt>
          <c:dPt>
            <c:idx val="3"/>
            <c:invertIfNegative val="0"/>
            <c:bubble3D val="0"/>
            <c:spPr>
              <a:solidFill>
                <a:srgbClr val="8D99A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280-42C5-979D-F9F54D42239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80-42C5-979D-F9F54D42239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80-42C5-979D-F9F54D42239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80-42C5-979D-F9F54D42239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280-42C5-979D-F9F54D422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Analysis!$A$37:$A$40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Failed</c:v>
                </c:pt>
                <c:pt idx="3">
                  <c:v>Reversed</c:v>
                </c:pt>
              </c:strCache>
            </c:strRef>
          </c:cat>
          <c:val>
            <c:numRef>
              <c:f>Analysis!$B$37:$B$40</c:f>
              <c:numCache>
                <c:formatCode>#,##0</c:formatCode>
                <c:ptCount val="4"/>
                <c:pt idx="0">
                  <c:v>434</c:v>
                </c:pt>
                <c:pt idx="1">
                  <c:v>19</c:v>
                </c:pt>
                <c:pt idx="2">
                  <c:v>26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80-42C5-979D-F9F54D422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1777618"/>
        <c:axId val="84999192"/>
      </c:barChart>
      <c:catAx>
        <c:axId val="91777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99192"/>
        <c:crosses val="autoZero"/>
        <c:auto val="1"/>
        <c:lblAlgn val="ctr"/>
        <c:lblOffset val="100"/>
        <c:noMultiLvlLbl val="0"/>
      </c:catAx>
      <c:valAx>
        <c:axId val="84999192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77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Rate by Account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Analysis!$F$45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Analysis!$A$46:$A$49</c:f>
              <c:strCache>
                <c:ptCount val="4"/>
                <c:pt idx="0">
                  <c:v>Savings</c:v>
                </c:pt>
                <c:pt idx="1">
                  <c:v>Current</c:v>
                </c:pt>
                <c:pt idx="2">
                  <c:v>Fixed Deposit</c:v>
                </c:pt>
                <c:pt idx="3">
                  <c:v>Recurring Deposit</c:v>
                </c:pt>
              </c:strCache>
            </c:strRef>
          </c:cat>
          <c:val>
            <c:numRef>
              <c:f>Analysis!$F$46:$F$49</c:f>
              <c:numCache>
                <c:formatCode>0.0%</c:formatCode>
                <c:ptCount val="4"/>
                <c:pt idx="0">
                  <c:v>5.9829059829059832E-2</c:v>
                </c:pt>
                <c:pt idx="1">
                  <c:v>3.1746031746031744E-2</c:v>
                </c:pt>
                <c:pt idx="2">
                  <c:v>8.3333333333333332E-3</c:v>
                </c:pt>
                <c:pt idx="3">
                  <c:v>7.2992700729927005E-3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9-48D3-A4E1-A8DDEB6D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6851"/>
        <c:axId val="25434269"/>
      </c:barChart>
      <c:catAx>
        <c:axId val="11526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34269"/>
        <c:crosses val="autoZero"/>
        <c:auto val="1"/>
        <c:lblAlgn val="ctr"/>
        <c:lblOffset val="100"/>
        <c:noMultiLvlLbl val="0"/>
      </c:catAx>
      <c:valAx>
        <c:axId val="25434269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26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Transaction Category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Analysis!$B$54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3A5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BDE-4020-BDFF-5064B03D3E94}"/>
              </c:ext>
            </c:extLst>
          </c:dPt>
          <c:dPt>
            <c:idx val="1"/>
            <c:invertIfNegative val="0"/>
            <c:bubble3D val="0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BDE-4020-BDFF-5064B03D3E94}"/>
              </c:ext>
            </c:extLst>
          </c:dPt>
          <c:dPt>
            <c:idx val="2"/>
            <c:invertIfNegative val="0"/>
            <c:bubble3D val="0"/>
            <c:spPr>
              <a:solidFill>
                <a:srgbClr val="E9A23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BDE-4020-BDFF-5064B03D3E9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BDE-4020-BDFF-5064B03D3E9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BDE-4020-BDFF-5064B03D3E9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BDE-4020-BDFF-5064B03D3E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Analysis!$A$55:$A$57</c:f>
              <c:strCache>
                <c:ptCount val="3"/>
                <c:pt idx="0">
                  <c:v>Digital</c:v>
                </c:pt>
                <c:pt idx="1">
                  <c:v>Card-Based</c:v>
                </c:pt>
                <c:pt idx="2">
                  <c:v>Cash-Based</c:v>
                </c:pt>
              </c:strCache>
            </c:strRef>
          </c:cat>
          <c:val>
            <c:numRef>
              <c:f>Analysis!$B$55:$B$57</c:f>
              <c:numCache>
                <c:formatCode>#,##0</c:formatCode>
                <c:ptCount val="3"/>
                <c:pt idx="0">
                  <c:v>174</c:v>
                </c:pt>
                <c:pt idx="1">
                  <c:v>228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E-4020-BDFF-5064B03D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321636"/>
        <c:axId val="7489767"/>
      </c:barChart>
      <c:catAx>
        <c:axId val="51321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9767"/>
        <c:crosses val="autoZero"/>
        <c:auto val="1"/>
        <c:lblAlgn val="ctr"/>
        <c:lblOffset val="100"/>
        <c:noMultiLvlLbl val="0"/>
      </c:catAx>
      <c:valAx>
        <c:axId val="7489767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216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Rate by Transaction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Analysis!$F$54</c:f>
              <c:strCache>
                <c:ptCount val="1"/>
                <c:pt idx="0">
                  <c:v>Fraud Rate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Analysis!$A$55:$A$57</c:f>
              <c:strCache>
                <c:ptCount val="3"/>
                <c:pt idx="0">
                  <c:v>Digital</c:v>
                </c:pt>
                <c:pt idx="1">
                  <c:v>Card-Based</c:v>
                </c:pt>
                <c:pt idx="2">
                  <c:v>Cash-Based</c:v>
                </c:pt>
              </c:strCache>
            </c:strRef>
          </c:cat>
          <c:val>
            <c:numRef>
              <c:f>Analysis!$F$55:$F$57</c:f>
              <c:numCache>
                <c:formatCode>0.0%</c:formatCode>
                <c:ptCount val="3"/>
                <c:pt idx="0">
                  <c:v>2.2988505747126436E-2</c:v>
                </c:pt>
                <c:pt idx="1">
                  <c:v>1.7543859649122806E-2</c:v>
                </c:pt>
                <c:pt idx="2">
                  <c:v>5.1020408163265307E-2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C-4358-B370-D79C737E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954498"/>
        <c:axId val="94357201"/>
      </c:barChart>
      <c:catAx>
        <c:axId val="4954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57201"/>
        <c:crosses val="autoZero"/>
        <c:auto val="1"/>
        <c:lblAlgn val="ctr"/>
        <c:lblOffset val="100"/>
        <c:noMultiLvlLbl val="0"/>
      </c:catAx>
      <c:valAx>
        <c:axId val="94357201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54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Fraud Pattern by Branch (legitimate vs fraud-flagged txns)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Analysis!$B$100</c:f>
              <c:strCache>
                <c:ptCount val="1"/>
                <c:pt idx="0">
                  <c:v>Legitimate Txns</c:v>
                </c:pt>
              </c:strCache>
            </c:strRef>
          </c:tx>
          <c:spPr>
            <a:solidFill>
              <a:srgbClr val="D5DEE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Analysis!$A$101:$A$125</c:f>
              <c:strCache>
                <c:ptCount val="25"/>
                <c:pt idx="0">
                  <c:v>Bhopal Branch</c:v>
                </c:pt>
                <c:pt idx="1">
                  <c:v>Ahmedabad Branch</c:v>
                </c:pt>
                <c:pt idx="2">
                  <c:v>Chandigarh Branch</c:v>
                </c:pt>
                <c:pt idx="3">
                  <c:v>Delhi Branch</c:v>
                </c:pt>
                <c:pt idx="4">
                  <c:v>Jaipur Branch</c:v>
                </c:pt>
                <c:pt idx="5">
                  <c:v>Nagpur Branch</c:v>
                </c:pt>
                <c:pt idx="6">
                  <c:v>Surat Branch</c:v>
                </c:pt>
                <c:pt idx="7">
                  <c:v>Pune Branch</c:v>
                </c:pt>
                <c:pt idx="8">
                  <c:v>Hyderabad Branch</c:v>
                </c:pt>
                <c:pt idx="9">
                  <c:v>Patna Branch</c:v>
                </c:pt>
                <c:pt idx="10">
                  <c:v>Raipur Branch</c:v>
                </c:pt>
                <c:pt idx="11">
                  <c:v>Chennai Branch</c:v>
                </c:pt>
                <c:pt idx="12">
                  <c:v>Indore Branch</c:v>
                </c:pt>
                <c:pt idx="13">
                  <c:v>Lucknow Branch</c:v>
                </c:pt>
                <c:pt idx="14">
                  <c:v>Bhubaneswar Branch</c:v>
                </c:pt>
                <c:pt idx="15">
                  <c:v>Guwahati Branch</c:v>
                </c:pt>
                <c:pt idx="16">
                  <c:v>Amritsar Branch</c:v>
                </c:pt>
                <c:pt idx="17">
                  <c:v>Gwalior Branch</c:v>
                </c:pt>
                <c:pt idx="18">
                  <c:v>Kolkata Branch</c:v>
                </c:pt>
                <c:pt idx="19">
                  <c:v>Bangalore Branch</c:v>
                </c:pt>
                <c:pt idx="20">
                  <c:v>Coimbatore Branch</c:v>
                </c:pt>
                <c:pt idx="21">
                  <c:v>Jabalpur Branch</c:v>
                </c:pt>
                <c:pt idx="22">
                  <c:v>Kochi Branch</c:v>
                </c:pt>
                <c:pt idx="23">
                  <c:v>Ranchi Branch</c:v>
                </c:pt>
                <c:pt idx="24">
                  <c:v>Mumbai Branch</c:v>
                </c:pt>
              </c:strCache>
            </c:strRef>
          </c:cat>
          <c:val>
            <c:numRef>
              <c:f>Analysis!$B$101:$B$125</c:f>
              <c:numCache>
                <c:formatCode>#,##0</c:formatCode>
                <c:ptCount val="25"/>
                <c:pt idx="0">
                  <c:v>17</c:v>
                </c:pt>
                <c:pt idx="1">
                  <c:v>25</c:v>
                </c:pt>
                <c:pt idx="2">
                  <c:v>22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28</c:v>
                </c:pt>
                <c:pt idx="12">
                  <c:v>28</c:v>
                </c:pt>
                <c:pt idx="13">
                  <c:v>23</c:v>
                </c:pt>
                <c:pt idx="14">
                  <c:v>22</c:v>
                </c:pt>
                <c:pt idx="15">
                  <c:v>22</c:v>
                </c:pt>
                <c:pt idx="16">
                  <c:v>20</c:v>
                </c:pt>
                <c:pt idx="17">
                  <c:v>19</c:v>
                </c:pt>
                <c:pt idx="18">
                  <c:v>19</c:v>
                </c:pt>
                <c:pt idx="19">
                  <c:v>17</c:v>
                </c:pt>
                <c:pt idx="20">
                  <c:v>17</c:v>
                </c:pt>
                <c:pt idx="21">
                  <c:v>16</c:v>
                </c:pt>
                <c:pt idx="22">
                  <c:v>16</c:v>
                </c:pt>
                <c:pt idx="23">
                  <c:v>14</c:v>
                </c:pt>
                <c:pt idx="2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2-4547-9E45-66002D1091F8}"/>
            </c:ext>
          </c:extLst>
        </c:ser>
        <c:ser>
          <c:idx val="1"/>
          <c:order val="1"/>
          <c:tx>
            <c:strRef>
              <c:f>Analysis!$C$100</c:f>
              <c:strCache>
                <c:ptCount val="1"/>
                <c:pt idx="0">
                  <c:v>Fraud Txns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Analysis!$A$101:$A$125</c:f>
              <c:strCache>
                <c:ptCount val="25"/>
                <c:pt idx="0">
                  <c:v>Bhopal Branch</c:v>
                </c:pt>
                <c:pt idx="1">
                  <c:v>Ahmedabad Branch</c:v>
                </c:pt>
                <c:pt idx="2">
                  <c:v>Chandigarh Branch</c:v>
                </c:pt>
                <c:pt idx="3">
                  <c:v>Delhi Branch</c:v>
                </c:pt>
                <c:pt idx="4">
                  <c:v>Jaipur Branch</c:v>
                </c:pt>
                <c:pt idx="5">
                  <c:v>Nagpur Branch</c:v>
                </c:pt>
                <c:pt idx="6">
                  <c:v>Surat Branch</c:v>
                </c:pt>
                <c:pt idx="7">
                  <c:v>Pune Branch</c:v>
                </c:pt>
                <c:pt idx="8">
                  <c:v>Hyderabad Branch</c:v>
                </c:pt>
                <c:pt idx="9">
                  <c:v>Patna Branch</c:v>
                </c:pt>
                <c:pt idx="10">
                  <c:v>Raipur Branch</c:v>
                </c:pt>
                <c:pt idx="11">
                  <c:v>Chennai Branch</c:v>
                </c:pt>
                <c:pt idx="12">
                  <c:v>Indore Branch</c:v>
                </c:pt>
                <c:pt idx="13">
                  <c:v>Lucknow Branch</c:v>
                </c:pt>
                <c:pt idx="14">
                  <c:v>Bhubaneswar Branch</c:v>
                </c:pt>
                <c:pt idx="15">
                  <c:v>Guwahati Branch</c:v>
                </c:pt>
                <c:pt idx="16">
                  <c:v>Amritsar Branch</c:v>
                </c:pt>
                <c:pt idx="17">
                  <c:v>Gwalior Branch</c:v>
                </c:pt>
                <c:pt idx="18">
                  <c:v>Kolkata Branch</c:v>
                </c:pt>
                <c:pt idx="19">
                  <c:v>Bangalore Branch</c:v>
                </c:pt>
                <c:pt idx="20">
                  <c:v>Coimbatore Branch</c:v>
                </c:pt>
                <c:pt idx="21">
                  <c:v>Jabalpur Branch</c:v>
                </c:pt>
                <c:pt idx="22">
                  <c:v>Kochi Branch</c:v>
                </c:pt>
                <c:pt idx="23">
                  <c:v>Ranchi Branch</c:v>
                </c:pt>
                <c:pt idx="24">
                  <c:v>Mumbai Branch</c:v>
                </c:pt>
              </c:strCache>
            </c:strRef>
          </c:cat>
          <c:val>
            <c:numRef>
              <c:f>Analysis!$C$101:$C$125</c:f>
              <c:numCache>
                <c:formatCode>#,##0</c:formatCode>
                <c:ptCount val="2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2-4547-9E45-66002D109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815555"/>
        <c:axId val="95156103"/>
      </c:barChart>
      <c:catAx>
        <c:axId val="58155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56103"/>
        <c:crosses val="autoZero"/>
        <c:auto val="1"/>
        <c:lblAlgn val="ctr"/>
        <c:lblOffset val="100"/>
        <c:noMultiLvlLbl val="0"/>
      </c:catAx>
      <c:valAx>
        <c:axId val="951561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555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8</xdr:col>
      <xdr:colOff>659520</xdr:colOff>
      <xdr:row>28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16</xdr:col>
      <xdr:colOff>659160</xdr:colOff>
      <xdr:row>28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659520</xdr:colOff>
      <xdr:row>44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16</xdr:col>
      <xdr:colOff>659160</xdr:colOff>
      <xdr:row>44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8</xdr:col>
      <xdr:colOff>659520</xdr:colOff>
      <xdr:row>60</xdr:row>
      <xdr:rowOff>68400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8</xdr:col>
      <xdr:colOff>659520</xdr:colOff>
      <xdr:row>76</xdr:row>
      <xdr:rowOff>68760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16</xdr:col>
      <xdr:colOff>659160</xdr:colOff>
      <xdr:row>60</xdr:row>
      <xdr:rowOff>68400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62</xdr:row>
      <xdr:rowOff>0</xdr:rowOff>
    </xdr:from>
    <xdr:to>
      <xdr:col>16</xdr:col>
      <xdr:colOff>659160</xdr:colOff>
      <xdr:row>76</xdr:row>
      <xdr:rowOff>68760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78</xdr:row>
      <xdr:rowOff>0</xdr:rowOff>
    </xdr:from>
    <xdr:to>
      <xdr:col>16</xdr:col>
      <xdr:colOff>724320</xdr:colOff>
      <xdr:row>113</xdr:row>
      <xdr:rowOff>4750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13"/>
  <sheetViews>
    <sheetView showGridLines="0" tabSelected="1" topLeftCell="B8" zoomScale="77" zoomScaleNormal="100" workbookViewId="0">
      <selection activeCell="T33" sqref="T33"/>
    </sheetView>
  </sheetViews>
  <sheetFormatPr defaultColWidth="8.6640625" defaultRowHeight="14.4" x14ac:dyDescent="0.3"/>
  <cols>
    <col min="1" max="1" width="2" customWidth="1"/>
    <col min="2" max="17" width="11.44140625" customWidth="1"/>
  </cols>
  <sheetData>
    <row r="1" spans="2:17" ht="37.5" customHeight="1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7" x14ac:dyDescent="0.3">
      <c r="B2" s="13" t="str">
        <f>"Data period: "&amp;TEXT(MIN(Data!$L$2:$L$501),"dd mmm yyyy")&amp;" to "&amp;TEXT(MAX(Data!$L$2:$L$501),"dd mmm yyyy")&amp;"   |   "&amp;TEXT(COUNTA(Data!$A$2:$A$501),"#,##0")&amp;" transactions in dataset"</f>
        <v>Data period: 11 Jul 2023 to 06 Jul 2025   |   500 transactions in dataset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2:17" x14ac:dyDescent="0.3">
      <c r="B4" s="12" t="s">
        <v>1</v>
      </c>
      <c r="C4" s="12"/>
      <c r="D4" s="11" t="s">
        <v>2</v>
      </c>
      <c r="E4" s="11"/>
      <c r="G4" s="10" t="s">
        <v>3</v>
      </c>
      <c r="H4" s="10"/>
      <c r="I4" s="11" t="s">
        <v>2</v>
      </c>
      <c r="J4" s="11"/>
      <c r="L4" s="16" t="s">
        <v>4</v>
      </c>
    </row>
    <row r="6" spans="2:17" ht="18" customHeight="1" x14ac:dyDescent="0.3">
      <c r="B6" s="9" t="s">
        <v>5</v>
      </c>
      <c r="C6" s="9"/>
      <c r="D6" s="9"/>
      <c r="E6" s="9"/>
      <c r="F6" s="9" t="s">
        <v>6</v>
      </c>
      <c r="G6" s="9"/>
      <c r="H6" s="9"/>
      <c r="I6" s="9"/>
      <c r="J6" s="9" t="s">
        <v>7</v>
      </c>
      <c r="K6" s="9"/>
      <c r="L6" s="9"/>
      <c r="M6" s="9"/>
      <c r="N6" s="8" t="s">
        <v>8</v>
      </c>
      <c r="O6" s="8"/>
      <c r="P6" s="8"/>
      <c r="Q6" s="8"/>
    </row>
    <row r="7" spans="2:17" ht="36" customHeight="1" x14ac:dyDescent="0.3">
      <c r="B7" s="7">
        <f>COUNTIFS(Data!$E$2:$E$501,Analysis!$B$2,Data!$Q$2:$Q$501,Analysis!$B$3)</f>
        <v>500</v>
      </c>
      <c r="C7" s="7"/>
      <c r="D7" s="7"/>
      <c r="E7" s="7"/>
      <c r="F7" s="6">
        <f>SUMIFS(Data!$J$2:$J$501,Data!$E$2:$E$501,Analysis!$B$2,Data!$Q$2:$Q$501,Analysis!$B$3)/Analysis!$B$4</f>
        <v>9.3933780490000061</v>
      </c>
      <c r="G7" s="6"/>
      <c r="H7" s="6"/>
      <c r="I7" s="6"/>
      <c r="J7" s="5">
        <f>IF(COUNTIFS(Data!$E$2:$E$501,Analysis!$B$2,Data!$Q$2:$Q$501,Analysis!$B$3)=0,0,SUMIFS(Data!$J$2:$J$501,Data!$E$2:$E$501,Analysis!$B$2,Data!$Q$2:$Q$501,Analysis!$B$3)/COUNTIFS(Data!$E$2:$E$501,Analysis!$B$2,Data!$Q$2:$Q$501,Analysis!$B$3))</f>
        <v>187867.56098000013</v>
      </c>
      <c r="K7" s="5"/>
      <c r="L7" s="5"/>
      <c r="M7" s="5"/>
      <c r="N7" s="4">
        <f>IF(COUNTIFS(Data!$E$2:$E$501,Analysis!$B$2,Data!$Q$2:$Q$501,Analysis!$B$3)=0,0,SUMIFS(Data!$S$2:$S$501,Data!$E$2:$E$501,Analysis!$B$2,Data!$Q$2:$Q$501,Analysis!$B$3)/COUNTIFS(Data!$E$2:$E$501,Analysis!$B$2,Data!$Q$2:$Q$501,Analysis!$B$3))</f>
        <v>2.5999999999999999E-2</v>
      </c>
      <c r="O7" s="4"/>
      <c r="P7" s="4"/>
      <c r="Q7" s="4"/>
    </row>
    <row r="9" spans="2:17" ht="18" customHeight="1" x14ac:dyDescent="0.3">
      <c r="B9" s="3" t="s">
        <v>9</v>
      </c>
      <c r="C9" s="3"/>
      <c r="D9" s="3"/>
      <c r="E9" s="3"/>
      <c r="F9" s="2" t="s">
        <v>10</v>
      </c>
      <c r="G9" s="2"/>
      <c r="H9" s="2"/>
      <c r="I9" s="2"/>
      <c r="J9" s="1" t="s">
        <v>11</v>
      </c>
      <c r="K9" s="1"/>
      <c r="L9" s="1"/>
      <c r="M9" s="1"/>
      <c r="N9" s="40" t="s">
        <v>12</v>
      </c>
      <c r="O9" s="40"/>
      <c r="P9" s="40"/>
      <c r="Q9" s="40"/>
    </row>
    <row r="10" spans="2:17" ht="36" customHeight="1" x14ac:dyDescent="0.3">
      <c r="B10" s="41">
        <f>IF(COUNTIFS(Data!$E$2:$E$501,Analysis!$B$2,Data!$Q$2:$Q$501,Analysis!$B$3)=0,0,COUNTIFS(Data!$E$2:$E$501,Analysis!$B$2,Data!$Q$2:$Q$501,Analysis!$B$3,Data!$M$2:$M$501,"Completed")/COUNTIFS(Data!$E$2:$E$501,Analysis!$B$2,Data!$Q$2:$Q$501,Analysis!$B$3))</f>
        <v>0.86799999999999999</v>
      </c>
      <c r="C10" s="41"/>
      <c r="D10" s="41"/>
      <c r="E10" s="41"/>
      <c r="F10" s="42">
        <f>IF(COUNTIFS(Data!$E$2:$E$501,Analysis!$B$2,Data!$Q$2:$Q$501,Analysis!$B$3)=0,0,COUNTIFS(Data!$E$2:$E$501,Analysis!$B$2,Data!$Q$2:$Q$501,Analysis!$B$3,Data!$M$2:$M$501,"Pending")/COUNTIFS(Data!$E$2:$E$501,Analysis!$B$2,Data!$Q$2:$Q$501,Analysis!$B$3))</f>
        <v>3.7999999999999999E-2</v>
      </c>
      <c r="G10" s="42"/>
      <c r="H10" s="42"/>
      <c r="I10" s="42"/>
      <c r="J10" s="43">
        <f>IF(COUNTIFS(Data!$E$2:$E$501,Analysis!$B$2,Data!$Q$2:$Q$501,Analysis!$B$3)=0,0,COUNTIFS(Data!$E$2:$E$501,Analysis!$B$2,Data!$Q$2:$Q$501,Analysis!$B$3,Data!$M$2:$M$501,"Failed")/COUNTIFS(Data!$E$2:$E$501,Analysis!$B$2,Data!$Q$2:$Q$501,Analysis!$B$3))</f>
        <v>5.1999999999999998E-2</v>
      </c>
      <c r="K10" s="43"/>
      <c r="L10" s="43"/>
      <c r="M10" s="43"/>
      <c r="N10" s="44">
        <f>IF(COUNTIFS(Data!$E$2:$E$501,Analysis!$B$2,Data!$Q$2:$Q$501,Analysis!$B$3)=0,0,COUNTIFS(Data!$E$2:$E$501,Analysis!$B$2,Data!$Q$2:$Q$501,Analysis!$B$3,Data!$M$2:$M$501,"Reversed")/COUNTIFS(Data!$E$2:$E$501,Analysis!$B$2,Data!$Q$2:$Q$501,Analysis!$B$3))</f>
        <v>4.2000000000000003E-2</v>
      </c>
      <c r="O10" s="44"/>
      <c r="P10" s="44"/>
      <c r="Q10" s="44"/>
    </row>
    <row r="12" spans="2:17" ht="18" customHeight="1" x14ac:dyDescent="0.3">
      <c r="B12" s="9" t="s">
        <v>13</v>
      </c>
      <c r="C12" s="9"/>
      <c r="D12" s="9"/>
      <c r="E12" s="9"/>
      <c r="F12" s="3" t="s">
        <v>14</v>
      </c>
      <c r="G12" s="3"/>
      <c r="H12" s="3"/>
      <c r="I12" s="3"/>
      <c r="J12" s="2" t="s">
        <v>15</v>
      </c>
      <c r="K12" s="2"/>
      <c r="L12" s="2"/>
      <c r="M12" s="2"/>
      <c r="N12" s="40" t="s">
        <v>16</v>
      </c>
      <c r="O12" s="40"/>
      <c r="P12" s="40"/>
      <c r="Q12" s="40"/>
    </row>
    <row r="13" spans="2:17" ht="36" customHeight="1" x14ac:dyDescent="0.3">
      <c r="B13" s="45">
        <f>IF(COUNTIFS(Data!$E$2:$E$501,Analysis!$B$2,Data!$Q$2:$Q$501,Analysis!$B$3)=0,0,COUNTIFS(Data!$E$2:$E$501,Analysis!$B$2,Data!$Q$2:$Q$501,Analysis!$B$3,Data!$T$2:$T$501,"Digital")/COUNTIFS(Data!$E$2:$E$501,Analysis!$B$2,Data!$Q$2:$Q$501,Analysis!$B$3))</f>
        <v>0.34799999999999998</v>
      </c>
      <c r="C13" s="45"/>
      <c r="D13" s="45"/>
      <c r="E13" s="45"/>
      <c r="F13" s="41">
        <f>IF(COUNTIFS(Data!$E$2:$E$501,Analysis!$B$2,Data!$Q$2:$Q$501,Analysis!$B$3)=0,0,COUNTIFS(Data!$E$2:$E$501,Analysis!$B$2,Data!$Q$2:$Q$501,Analysis!$B$3,Data!$T$2:$T$501,"Card-Based")/COUNTIFS(Data!$E$2:$E$501,Analysis!$B$2,Data!$Q$2:$Q$501,Analysis!$B$3))</f>
        <v>0.45600000000000002</v>
      </c>
      <c r="G13" s="41"/>
      <c r="H13" s="41"/>
      <c r="I13" s="41"/>
      <c r="J13" s="42">
        <f>IF(COUNTIFS(Data!$E$2:$E$501,Analysis!$B$2,Data!$Q$2:$Q$501,Analysis!$B$3)=0,0,COUNTIFS(Data!$E$2:$E$501,Analysis!$B$2,Data!$Q$2:$Q$501,Analysis!$B$3,Data!$T$2:$T$501,"Cash-Based")/COUNTIFS(Data!$E$2:$E$501,Analysis!$B$2,Data!$Q$2:$Q$501,Analysis!$B$3))</f>
        <v>0.19600000000000001</v>
      </c>
      <c r="K13" s="42"/>
      <c r="L13" s="42"/>
      <c r="M13" s="42"/>
      <c r="N13" s="44">
        <f>IF(COUNTIFS(Data!$E$2:$E$501,Analysis!$B$2,Data!$Q$2:$Q$501,Analysis!$B$3)=0,0,COUNTIFS(Data!$E$2:$E$501,Analysis!$B$2,Data!$Q$2:$Q$501,Analysis!$B$3,Data!$U$2:$U$501,"Frequent")/COUNTIFS(Data!$E$2:$E$501,Analysis!$B$2,Data!$Q$2:$Q$501,Analysis!$B$3))</f>
        <v>0</v>
      </c>
      <c r="O13" s="44"/>
      <c r="P13" s="44"/>
      <c r="Q13" s="44"/>
    </row>
  </sheetData>
  <mergeCells count="30">
    <mergeCell ref="B12:E12"/>
    <mergeCell ref="F12:I12"/>
    <mergeCell ref="J12:M12"/>
    <mergeCell ref="N12:Q12"/>
    <mergeCell ref="B13:E13"/>
    <mergeCell ref="F13:I13"/>
    <mergeCell ref="J13:M13"/>
    <mergeCell ref="N13:Q13"/>
    <mergeCell ref="B9:E9"/>
    <mergeCell ref="F9:I9"/>
    <mergeCell ref="J9:M9"/>
    <mergeCell ref="N9:Q9"/>
    <mergeCell ref="B10:E10"/>
    <mergeCell ref="F10:I10"/>
    <mergeCell ref="J10:M10"/>
    <mergeCell ref="N10:Q10"/>
    <mergeCell ref="B6:E6"/>
    <mergeCell ref="F6:I6"/>
    <mergeCell ref="J6:M6"/>
    <mergeCell ref="N6:Q6"/>
    <mergeCell ref="B7:E7"/>
    <mergeCell ref="F7:I7"/>
    <mergeCell ref="J7:M7"/>
    <mergeCell ref="N7:Q7"/>
    <mergeCell ref="B1:Q1"/>
    <mergeCell ref="B2:Q2"/>
    <mergeCell ref="B4:C4"/>
    <mergeCell ref="D4:E4"/>
    <mergeCell ref="G4:H4"/>
    <mergeCell ref="I4:J4"/>
  </mergeCells>
  <dataValidations count="2">
    <dataValidation type="list" sqref="D4" xr:uid="{00000000-0002-0000-0000-000000000000}">
      <formula1>"All,Central,East,North,South,West"</formula1>
      <formula2>0</formula2>
    </dataValidation>
    <dataValidation type="list" sqref="I4" xr:uid="{00000000-0002-0000-0000-000001000000}">
      <formula1>"All,2023,2024,2025"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topLeftCell="A8" zoomScaleNormal="100" workbookViewId="0"/>
  </sheetViews>
  <sheetFormatPr defaultColWidth="8.6640625" defaultRowHeight="14.4" x14ac:dyDescent="0.3"/>
  <cols>
    <col min="1" max="1" width="24" customWidth="1"/>
    <col min="2" max="2" width="120" customWidth="1"/>
  </cols>
  <sheetData>
    <row r="1" spans="1:2" ht="17.399999999999999" x14ac:dyDescent="0.3">
      <c r="A1" s="17" t="s">
        <v>17</v>
      </c>
    </row>
    <row r="2" spans="1:2" x14ac:dyDescent="0.3">
      <c r="A2" s="16" t="s">
        <v>18</v>
      </c>
    </row>
    <row r="4" spans="1:2" x14ac:dyDescent="0.3">
      <c r="A4" s="18" t="s">
        <v>19</v>
      </c>
      <c r="B4" s="18" t="s">
        <v>20</v>
      </c>
    </row>
    <row r="5" spans="1:2" ht="31.5" customHeight="1" x14ac:dyDescent="0.3">
      <c r="A5" s="19" t="s">
        <v>21</v>
      </c>
      <c r="B5" s="20" t="s">
        <v>22</v>
      </c>
    </row>
    <row r="6" spans="1:2" ht="31.5" customHeight="1" x14ac:dyDescent="0.3">
      <c r="A6" s="19" t="s">
        <v>23</v>
      </c>
      <c r="B6" s="20" t="s">
        <v>24</v>
      </c>
    </row>
    <row r="7" spans="1:2" ht="31.5" customHeight="1" x14ac:dyDescent="0.3">
      <c r="A7" s="19" t="s">
        <v>25</v>
      </c>
      <c r="B7" s="20" t="s">
        <v>26</v>
      </c>
    </row>
    <row r="8" spans="1:2" ht="31.5" customHeight="1" x14ac:dyDescent="0.3">
      <c r="A8" s="19" t="s">
        <v>27</v>
      </c>
      <c r="B8" s="20" t="s">
        <v>28</v>
      </c>
    </row>
    <row r="9" spans="1:2" ht="31.5" customHeight="1" x14ac:dyDescent="0.3">
      <c r="A9" s="19" t="s">
        <v>29</v>
      </c>
      <c r="B9" s="20" t="s">
        <v>30</v>
      </c>
    </row>
    <row r="10" spans="1:2" ht="31.5" customHeight="1" x14ac:dyDescent="0.3">
      <c r="A10" s="19" t="s">
        <v>31</v>
      </c>
      <c r="B10" s="20" t="s">
        <v>32</v>
      </c>
    </row>
    <row r="11" spans="1:2" ht="31.5" customHeight="1" x14ac:dyDescent="0.3">
      <c r="A11" s="19" t="s">
        <v>33</v>
      </c>
      <c r="B11" s="20" t="s">
        <v>34</v>
      </c>
    </row>
    <row r="12" spans="1:2" ht="31.5" customHeight="1" x14ac:dyDescent="0.3">
      <c r="A12" s="19" t="s">
        <v>35</v>
      </c>
      <c r="B12" s="20" t="s">
        <v>36</v>
      </c>
    </row>
    <row r="13" spans="1:2" ht="31.5" customHeight="1" x14ac:dyDescent="0.3">
      <c r="A13" s="19" t="s">
        <v>37</v>
      </c>
      <c r="B13" s="20" t="s">
        <v>38</v>
      </c>
    </row>
    <row r="14" spans="1:2" ht="31.5" customHeight="1" x14ac:dyDescent="0.3">
      <c r="A14" s="19" t="s">
        <v>39</v>
      </c>
      <c r="B14" s="20" t="s">
        <v>40</v>
      </c>
    </row>
    <row r="15" spans="1:2" ht="31.5" customHeight="1" x14ac:dyDescent="0.3">
      <c r="A15" s="19" t="s">
        <v>41</v>
      </c>
      <c r="B15" s="20" t="s">
        <v>42</v>
      </c>
    </row>
    <row r="16" spans="1:2" ht="31.5" customHeight="1" x14ac:dyDescent="0.3">
      <c r="A16" s="19" t="s">
        <v>43</v>
      </c>
      <c r="B16" s="20" t="s">
        <v>44</v>
      </c>
    </row>
    <row r="17" spans="1:2" ht="31.5" customHeight="1" x14ac:dyDescent="0.3">
      <c r="A17" s="19" t="s">
        <v>45</v>
      </c>
      <c r="B17" s="20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3" width="16" customWidth="1"/>
    <col min="4" max="4" width="14" customWidth="1"/>
    <col min="5" max="6" width="12" customWidth="1"/>
  </cols>
  <sheetData>
    <row r="1" spans="1:6" ht="17.399999999999999" x14ac:dyDescent="0.3">
      <c r="A1" s="17" t="s">
        <v>47</v>
      </c>
    </row>
    <row r="2" spans="1:6" x14ac:dyDescent="0.3">
      <c r="A2" s="15" t="s">
        <v>48</v>
      </c>
      <c r="B2" s="21" t="str">
        <f>IF(Dashboard!$D$4="All","*",Dashboard!$D$4)</f>
        <v>*</v>
      </c>
      <c r="C2" s="16" t="s">
        <v>49</v>
      </c>
    </row>
    <row r="3" spans="1:6" x14ac:dyDescent="0.3">
      <c r="A3" s="15" t="s">
        <v>50</v>
      </c>
      <c r="B3" s="21" t="str">
        <f>IF(Dashboard!$I$4="All","&gt;0",Dashboard!$I$4)</f>
        <v>&gt;0</v>
      </c>
    </row>
    <row r="4" spans="1:6" x14ac:dyDescent="0.3">
      <c r="A4" s="15" t="s">
        <v>51</v>
      </c>
      <c r="B4" s="22">
        <v>10000000</v>
      </c>
      <c r="C4" s="16" t="s">
        <v>52</v>
      </c>
    </row>
    <row r="6" spans="1:6" x14ac:dyDescent="0.3">
      <c r="A6" s="23" t="s">
        <v>53</v>
      </c>
    </row>
    <row r="7" spans="1:6" x14ac:dyDescent="0.3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</row>
    <row r="8" spans="1:6" x14ac:dyDescent="0.3">
      <c r="A8" s="24" t="s">
        <v>60</v>
      </c>
      <c r="B8" s="25">
        <f>COUNTIFS(Data!$E$2:$E$501,$A8,Data!$Q$2:$Q$501,$B$3)</f>
        <v>98</v>
      </c>
      <c r="C8" s="25">
        <f>SUMIFS(Data!$J$2:$J$501,Data!$E$2:$E$501,$A8,Data!$Q$2:$Q$501,$B$3)</f>
        <v>18162308.66</v>
      </c>
      <c r="D8" s="26">
        <f>IF($B$13=0,0,B8/$B$13)</f>
        <v>0.19600000000000001</v>
      </c>
      <c r="E8" s="25">
        <f>SUMIFS(Data!$S$2:$S$501,Data!$E$2:$E$501,$A8,Data!$Q$2:$Q$501,$B$3)</f>
        <v>4</v>
      </c>
      <c r="F8" s="26">
        <f t="shared" ref="F8:F13" si="0">IF(B8=0,0,E8/B8)</f>
        <v>4.0816326530612242E-2</v>
      </c>
    </row>
    <row r="9" spans="1:6" x14ac:dyDescent="0.3">
      <c r="A9" s="24" t="s">
        <v>61</v>
      </c>
      <c r="B9" s="25">
        <f>COUNTIFS(Data!$E$2:$E$501,$A9,Data!$Q$2:$Q$501,$B$3)</f>
        <v>94</v>
      </c>
      <c r="C9" s="25">
        <f>SUMIFS(Data!$J$2:$J$501,Data!$E$2:$E$501,$A9,Data!$Q$2:$Q$501,$B$3)</f>
        <v>18901842.610000003</v>
      </c>
      <c r="D9" s="26">
        <f>IF($B$13=0,0,B9/$B$13)</f>
        <v>0.188</v>
      </c>
      <c r="E9" s="25">
        <f>SUMIFS(Data!$S$2:$S$501,Data!$E$2:$E$501,$A9,Data!$Q$2:$Q$501,$B$3)</f>
        <v>1</v>
      </c>
      <c r="F9" s="26">
        <f t="shared" si="0"/>
        <v>1.0638297872340425E-2</v>
      </c>
    </row>
    <row r="10" spans="1:6" x14ac:dyDescent="0.3">
      <c r="A10" s="24" t="s">
        <v>62</v>
      </c>
      <c r="B10" s="25">
        <f>COUNTIFS(Data!$E$2:$E$501,$A10,Data!$Q$2:$Q$501,$B$3)</f>
        <v>110</v>
      </c>
      <c r="C10" s="25">
        <f>SUMIFS(Data!$J$2:$J$501,Data!$E$2:$E$501,$A10,Data!$Q$2:$Q$501,$B$3)</f>
        <v>20463124.219999999</v>
      </c>
      <c r="D10" s="26">
        <f>IF($B$13=0,0,B10/$B$13)</f>
        <v>0.22</v>
      </c>
      <c r="E10" s="25">
        <f>SUMIFS(Data!$S$2:$S$501,Data!$E$2:$E$501,$A10,Data!$Q$2:$Q$501,$B$3)</f>
        <v>3</v>
      </c>
      <c r="F10" s="26">
        <f t="shared" si="0"/>
        <v>2.7272727272727271E-2</v>
      </c>
    </row>
    <row r="11" spans="1:6" x14ac:dyDescent="0.3">
      <c r="A11" s="24" t="s">
        <v>63</v>
      </c>
      <c r="B11" s="25">
        <f>COUNTIFS(Data!$E$2:$E$501,$A11,Data!$Q$2:$Q$501,$B$3)</f>
        <v>97</v>
      </c>
      <c r="C11" s="25">
        <f>SUMIFS(Data!$J$2:$J$501,Data!$E$2:$E$501,$A11,Data!$Q$2:$Q$501,$B$3)</f>
        <v>17346670.019999996</v>
      </c>
      <c r="D11" s="26">
        <f>IF($B$13=0,0,B11/$B$13)</f>
        <v>0.19400000000000001</v>
      </c>
      <c r="E11" s="25">
        <f>SUMIFS(Data!$S$2:$S$501,Data!$E$2:$E$501,$A11,Data!$Q$2:$Q$501,$B$3)</f>
        <v>1</v>
      </c>
      <c r="F11" s="26">
        <f t="shared" si="0"/>
        <v>1.0309278350515464E-2</v>
      </c>
    </row>
    <row r="12" spans="1:6" x14ac:dyDescent="0.3">
      <c r="A12" s="24" t="s">
        <v>64</v>
      </c>
      <c r="B12" s="25">
        <f>COUNTIFS(Data!$E$2:$E$501,$A12,Data!$Q$2:$Q$501,$B$3)</f>
        <v>101</v>
      </c>
      <c r="C12" s="25">
        <f>SUMIFS(Data!$J$2:$J$501,Data!$E$2:$E$501,$A12,Data!$Q$2:$Q$501,$B$3)</f>
        <v>19059834.980000004</v>
      </c>
      <c r="D12" s="26">
        <f>IF($B$13=0,0,B12/$B$13)</f>
        <v>0.20200000000000001</v>
      </c>
      <c r="E12" s="25">
        <f>SUMIFS(Data!$S$2:$S$501,Data!$E$2:$E$501,$A12,Data!$Q$2:$Q$501,$B$3)</f>
        <v>4</v>
      </c>
      <c r="F12" s="26">
        <f t="shared" si="0"/>
        <v>3.9603960396039604E-2</v>
      </c>
    </row>
    <row r="13" spans="1:6" x14ac:dyDescent="0.3">
      <c r="A13" s="27" t="s">
        <v>65</v>
      </c>
      <c r="B13" s="28">
        <f>SUM(B8:B12)</f>
        <v>500</v>
      </c>
      <c r="C13" s="28">
        <f>SUM(C8:C12)</f>
        <v>93933780.489999995</v>
      </c>
      <c r="D13" s="29">
        <f>SUM(D8:D12)</f>
        <v>1</v>
      </c>
      <c r="E13" s="28">
        <f>SUM(E8:E12)</f>
        <v>13</v>
      </c>
      <c r="F13" s="29">
        <f t="shared" si="0"/>
        <v>2.5999999999999999E-2</v>
      </c>
    </row>
    <row r="16" spans="1:6" x14ac:dyDescent="0.3">
      <c r="A16" s="23" t="s">
        <v>66</v>
      </c>
    </row>
    <row r="17" spans="1:6" x14ac:dyDescent="0.3">
      <c r="A17" s="18" t="s">
        <v>67</v>
      </c>
      <c r="B17" s="18" t="s">
        <v>55</v>
      </c>
      <c r="C17" s="18" t="s">
        <v>56</v>
      </c>
      <c r="D17" s="18" t="s">
        <v>57</v>
      </c>
      <c r="E17" s="18" t="s">
        <v>58</v>
      </c>
      <c r="F17" s="18" t="s">
        <v>59</v>
      </c>
    </row>
    <row r="18" spans="1:6" x14ac:dyDescent="0.3">
      <c r="A18" s="24" t="s">
        <v>68</v>
      </c>
      <c r="B18" s="25">
        <f>COUNTIFS(Data!$K$2:$K$501,$A18,Data!$E$2:$E$501,$B$2,Data!$Q$2:$Q$501,$B$3)</f>
        <v>94</v>
      </c>
      <c r="C18" s="25">
        <f>SUMIFS(Data!$J$2:$J$501,Data!$K$2:$K$501,$A18,Data!$E$2:$E$501,$B$2,Data!$Q$2:$Q$501,$B$3)</f>
        <v>18593361.009999994</v>
      </c>
      <c r="D18" s="26">
        <f>IF($B$23=0,0,B18/$B$23)</f>
        <v>0.188</v>
      </c>
      <c r="E18" s="25">
        <f>SUMIFS(Data!$S$2:$S$501,Data!$K$2:$K$501,$A18,Data!$E$2:$E$501,$B$2,Data!$Q$2:$Q$501,$B$3)</f>
        <v>2</v>
      </c>
      <c r="F18" s="26">
        <f t="shared" ref="F18:F23" si="1">IF(B18=0,0,E18/B18)</f>
        <v>2.1276595744680851E-2</v>
      </c>
    </row>
    <row r="19" spans="1:6" x14ac:dyDescent="0.3">
      <c r="A19" s="24" t="s">
        <v>69</v>
      </c>
      <c r="B19" s="25">
        <f>COUNTIFS(Data!$K$2:$K$501,$A19,Data!$E$2:$E$501,$B$2,Data!$Q$2:$Q$501,$B$3)</f>
        <v>128</v>
      </c>
      <c r="C19" s="25">
        <f>SUMIFS(Data!$J$2:$J$501,Data!$K$2:$K$501,$A19,Data!$E$2:$E$501,$B$2,Data!$Q$2:$Q$501,$B$3)</f>
        <v>23893470.440000001</v>
      </c>
      <c r="D19" s="26">
        <f>IF($B$23=0,0,B19/$B$23)</f>
        <v>0.25600000000000001</v>
      </c>
      <c r="E19" s="25">
        <f>SUMIFS(Data!$S$2:$S$501,Data!$K$2:$K$501,$A19,Data!$E$2:$E$501,$B$2,Data!$Q$2:$Q$501,$B$3)</f>
        <v>2</v>
      </c>
      <c r="F19" s="26">
        <f t="shared" si="1"/>
        <v>1.5625E-2</v>
      </c>
    </row>
    <row r="20" spans="1:6" x14ac:dyDescent="0.3">
      <c r="A20" s="24" t="s">
        <v>70</v>
      </c>
      <c r="B20" s="25">
        <f>COUNTIFS(Data!$K$2:$K$501,$A20,Data!$E$2:$E$501,$B$2,Data!$Q$2:$Q$501,$B$3)</f>
        <v>100</v>
      </c>
      <c r="C20" s="25">
        <f>SUMIFS(Data!$J$2:$J$501,Data!$K$2:$K$501,$A20,Data!$E$2:$E$501,$B$2,Data!$Q$2:$Q$501,$B$3)</f>
        <v>18385287.919999998</v>
      </c>
      <c r="D20" s="26">
        <f>IF($B$23=0,0,B20/$B$23)</f>
        <v>0.2</v>
      </c>
      <c r="E20" s="25">
        <f>SUMIFS(Data!$S$2:$S$501,Data!$K$2:$K$501,$A20,Data!$E$2:$E$501,$B$2,Data!$Q$2:$Q$501,$B$3)</f>
        <v>2</v>
      </c>
      <c r="F20" s="26">
        <f t="shared" si="1"/>
        <v>0.02</v>
      </c>
    </row>
    <row r="21" spans="1:6" x14ac:dyDescent="0.3">
      <c r="A21" s="24" t="s">
        <v>71</v>
      </c>
      <c r="B21" s="25">
        <f>COUNTIFS(Data!$K$2:$K$501,$A21,Data!$E$2:$E$501,$B$2,Data!$Q$2:$Q$501,$B$3)</f>
        <v>80</v>
      </c>
      <c r="C21" s="25">
        <f>SUMIFS(Data!$J$2:$J$501,Data!$K$2:$K$501,$A21,Data!$E$2:$E$501,$B$2,Data!$Q$2:$Q$501,$B$3)</f>
        <v>16202668.370000003</v>
      </c>
      <c r="D21" s="26">
        <f>IF($B$23=0,0,B21/$B$23)</f>
        <v>0.16</v>
      </c>
      <c r="E21" s="25">
        <f>SUMIFS(Data!$S$2:$S$501,Data!$K$2:$K$501,$A21,Data!$E$2:$E$501,$B$2,Data!$Q$2:$Q$501,$B$3)</f>
        <v>2</v>
      </c>
      <c r="F21" s="26">
        <f t="shared" si="1"/>
        <v>2.5000000000000001E-2</v>
      </c>
    </row>
    <row r="22" spans="1:6" x14ac:dyDescent="0.3">
      <c r="A22" s="24" t="s">
        <v>72</v>
      </c>
      <c r="B22" s="25">
        <f>COUNTIFS(Data!$K$2:$K$501,$A22,Data!$E$2:$E$501,$B$2,Data!$Q$2:$Q$501,$B$3)</f>
        <v>98</v>
      </c>
      <c r="C22" s="25">
        <f>SUMIFS(Data!$J$2:$J$501,Data!$K$2:$K$501,$A22,Data!$E$2:$E$501,$B$2,Data!$Q$2:$Q$501,$B$3)</f>
        <v>16858992.75</v>
      </c>
      <c r="D22" s="26">
        <f>IF($B$23=0,0,B22/$B$23)</f>
        <v>0.19600000000000001</v>
      </c>
      <c r="E22" s="25">
        <f>SUMIFS(Data!$S$2:$S$501,Data!$K$2:$K$501,$A22,Data!$E$2:$E$501,$B$2,Data!$Q$2:$Q$501,$B$3)</f>
        <v>5</v>
      </c>
      <c r="F22" s="26">
        <f t="shared" si="1"/>
        <v>5.1020408163265307E-2</v>
      </c>
    </row>
    <row r="23" spans="1:6" x14ac:dyDescent="0.3">
      <c r="A23" s="27" t="s">
        <v>65</v>
      </c>
      <c r="B23" s="28">
        <f>SUM(B18:B22)</f>
        <v>500</v>
      </c>
      <c r="C23" s="28">
        <f>SUM(C18:C22)</f>
        <v>93933780.489999995</v>
      </c>
      <c r="D23" s="29">
        <f>SUM(D18:D22)</f>
        <v>1</v>
      </c>
      <c r="E23" s="28">
        <f>SUM(E18:E22)</f>
        <v>13</v>
      </c>
      <c r="F23" s="29">
        <f t="shared" si="1"/>
        <v>2.5999999999999999E-2</v>
      </c>
    </row>
    <row r="26" spans="1:6" x14ac:dyDescent="0.3">
      <c r="A26" s="23" t="s">
        <v>73</v>
      </c>
    </row>
    <row r="27" spans="1:6" x14ac:dyDescent="0.3">
      <c r="A27" s="18" t="s">
        <v>74</v>
      </c>
      <c r="B27" s="18" t="s">
        <v>55</v>
      </c>
      <c r="C27" s="18" t="s">
        <v>56</v>
      </c>
      <c r="D27" s="18" t="s">
        <v>57</v>
      </c>
      <c r="E27" s="18" t="s">
        <v>58</v>
      </c>
      <c r="F27" s="18" t="s">
        <v>59</v>
      </c>
    </row>
    <row r="28" spans="1:6" x14ac:dyDescent="0.3">
      <c r="A28" s="24" t="s">
        <v>75</v>
      </c>
      <c r="B28" s="25">
        <f>COUNTIFS(Data!$I$2:$I$501,$A28,Data!$E$2:$E$501,$B$2,Data!$Q$2:$Q$501,$B$3)</f>
        <v>140</v>
      </c>
      <c r="C28" s="25">
        <f>SUMIFS(Data!$J$2:$J$501,Data!$I$2:$I$501,$A28,Data!$E$2:$E$501,$B$2,Data!$Q$2:$Q$501,$B$3)</f>
        <v>21513155.480000004</v>
      </c>
      <c r="D28" s="26">
        <f>IF($B$32=0,0,B28/$B$32)</f>
        <v>0.28000000000000003</v>
      </c>
      <c r="E28" s="25">
        <f>SUMIFS(Data!$S$2:$S$501,Data!$I$2:$I$501,$A28,Data!$E$2:$E$501,$B$2,Data!$Q$2:$Q$501,$B$3)</f>
        <v>1</v>
      </c>
      <c r="F28" s="26">
        <f>IF(B28=0,0,E28/B28)</f>
        <v>7.1428571428571426E-3</v>
      </c>
    </row>
    <row r="29" spans="1:6" x14ac:dyDescent="0.3">
      <c r="A29" s="24" t="s">
        <v>76</v>
      </c>
      <c r="B29" s="25">
        <f>COUNTIFS(Data!$I$2:$I$501,$A29,Data!$E$2:$E$501,$B$2,Data!$Q$2:$Q$501,$B$3)</f>
        <v>136</v>
      </c>
      <c r="C29" s="25">
        <f>SUMIFS(Data!$J$2:$J$501,Data!$I$2:$I$501,$A29,Data!$E$2:$E$501,$B$2,Data!$Q$2:$Q$501,$B$3)</f>
        <v>30899199.790000003</v>
      </c>
      <c r="D29" s="26">
        <f>IF($B$32=0,0,B29/$B$32)</f>
        <v>0.27200000000000002</v>
      </c>
      <c r="E29" s="25">
        <f>SUMIFS(Data!$S$2:$S$501,Data!$I$2:$I$501,$A29,Data!$E$2:$E$501,$B$2,Data!$Q$2:$Q$501,$B$3)</f>
        <v>5</v>
      </c>
      <c r="F29" s="26">
        <f>IF(B29=0,0,E29/B29)</f>
        <v>3.6764705882352942E-2</v>
      </c>
    </row>
    <row r="30" spans="1:6" x14ac:dyDescent="0.3">
      <c r="A30" s="24" t="s">
        <v>77</v>
      </c>
      <c r="B30" s="25">
        <f>COUNTIFS(Data!$I$2:$I$501,$A30,Data!$E$2:$E$501,$B$2,Data!$Q$2:$Q$501,$B$3)</f>
        <v>116</v>
      </c>
      <c r="C30" s="25">
        <f>SUMIFS(Data!$J$2:$J$501,Data!$I$2:$I$501,$A30,Data!$E$2:$E$501,$B$2,Data!$Q$2:$Q$501,$B$3)</f>
        <v>8730728.1499999948</v>
      </c>
      <c r="D30" s="26">
        <f>IF($B$32=0,0,B30/$B$32)</f>
        <v>0.23200000000000001</v>
      </c>
      <c r="E30" s="25">
        <f>SUMIFS(Data!$S$2:$S$501,Data!$I$2:$I$501,$A30,Data!$E$2:$E$501,$B$2,Data!$Q$2:$Q$501,$B$3)</f>
        <v>5</v>
      </c>
      <c r="F30" s="26">
        <f>IF(B30=0,0,E30/B30)</f>
        <v>4.3103448275862072E-2</v>
      </c>
    </row>
    <row r="31" spans="1:6" x14ac:dyDescent="0.3">
      <c r="A31" s="24" t="s">
        <v>78</v>
      </c>
      <c r="B31" s="25">
        <f>COUNTIFS(Data!$I$2:$I$501,$A31,Data!$E$2:$E$501,$B$2,Data!$Q$2:$Q$501,$B$3)</f>
        <v>108</v>
      </c>
      <c r="C31" s="25">
        <f>SUMIFS(Data!$J$2:$J$501,Data!$I$2:$I$501,$A31,Data!$E$2:$E$501,$B$2,Data!$Q$2:$Q$501,$B$3)</f>
        <v>32790697.070000008</v>
      </c>
      <c r="D31" s="26">
        <f>IF($B$32=0,0,B31/$B$32)</f>
        <v>0.216</v>
      </c>
      <c r="E31" s="25">
        <f>SUMIFS(Data!$S$2:$S$501,Data!$I$2:$I$501,$A31,Data!$E$2:$E$501,$B$2,Data!$Q$2:$Q$501,$B$3)</f>
        <v>2</v>
      </c>
      <c r="F31" s="26">
        <f>IF(B31=0,0,E31/B31)</f>
        <v>1.8518518518518517E-2</v>
      </c>
    </row>
    <row r="32" spans="1:6" x14ac:dyDescent="0.3">
      <c r="A32" s="27" t="s">
        <v>65</v>
      </c>
      <c r="B32" s="28">
        <f>SUM(B28:B31)</f>
        <v>500</v>
      </c>
      <c r="C32" s="28">
        <f>SUM(C28:C31)</f>
        <v>93933780.49000001</v>
      </c>
      <c r="D32" s="29">
        <f>SUM(D28:D31)</f>
        <v>1</v>
      </c>
      <c r="E32" s="28">
        <f>SUM(E28:E31)</f>
        <v>13</v>
      </c>
      <c r="F32" s="29">
        <f>IF(B32=0,0,E32/B32)</f>
        <v>2.5999999999999999E-2</v>
      </c>
    </row>
    <row r="35" spans="1:6" x14ac:dyDescent="0.3">
      <c r="A35" s="23" t="s">
        <v>79</v>
      </c>
    </row>
    <row r="36" spans="1:6" x14ac:dyDescent="0.3">
      <c r="A36" s="18" t="s">
        <v>31</v>
      </c>
      <c r="B36" s="18" t="s">
        <v>55</v>
      </c>
      <c r="C36" s="18" t="s">
        <v>56</v>
      </c>
      <c r="D36" s="18" t="s">
        <v>57</v>
      </c>
      <c r="E36" s="18" t="s">
        <v>58</v>
      </c>
      <c r="F36" s="18" t="s">
        <v>59</v>
      </c>
    </row>
    <row r="37" spans="1:6" x14ac:dyDescent="0.3">
      <c r="A37" s="24" t="s">
        <v>80</v>
      </c>
      <c r="B37" s="25">
        <f>COUNTIFS(Data!$M$2:$M$501,$A37,Data!$E$2:$E$501,$B$2,Data!$Q$2:$Q$501,$B$3)</f>
        <v>434</v>
      </c>
      <c r="C37" s="25">
        <f>SUMIFS(Data!$J$2:$J$501,Data!$M$2:$M$501,$A37,Data!$E$2:$E$501,$B$2,Data!$Q$2:$Q$501,$B$3)</f>
        <v>81057860.430000052</v>
      </c>
      <c r="D37" s="26">
        <f>IF($B$41=0,0,B37/$B$41)</f>
        <v>0.86799999999999999</v>
      </c>
      <c r="E37" s="25">
        <f>SUMIFS(Data!$S$2:$S$501,Data!$M$2:$M$501,$A37,Data!$E$2:$E$501,$B$2,Data!$Q$2:$Q$501,$B$3)</f>
        <v>11</v>
      </c>
      <c r="F37" s="26">
        <f>IF(B37=0,0,E37/B37)</f>
        <v>2.5345622119815669E-2</v>
      </c>
    </row>
    <row r="38" spans="1:6" x14ac:dyDescent="0.3">
      <c r="A38" s="24" t="s">
        <v>81</v>
      </c>
      <c r="B38" s="25">
        <f>COUNTIFS(Data!$M$2:$M$501,$A38,Data!$E$2:$E$501,$B$2,Data!$Q$2:$Q$501,$B$3)</f>
        <v>19</v>
      </c>
      <c r="C38" s="25">
        <f>SUMIFS(Data!$J$2:$J$501,Data!$M$2:$M$501,$A38,Data!$E$2:$E$501,$B$2,Data!$Q$2:$Q$501,$B$3)</f>
        <v>3964707.97</v>
      </c>
      <c r="D38" s="26">
        <f>IF($B$41=0,0,B38/$B$41)</f>
        <v>3.7999999999999999E-2</v>
      </c>
      <c r="E38" s="25">
        <f>SUMIFS(Data!$S$2:$S$501,Data!$M$2:$M$501,$A38,Data!$E$2:$E$501,$B$2,Data!$Q$2:$Q$501,$B$3)</f>
        <v>0</v>
      </c>
      <c r="F38" s="26">
        <f>IF(B38=0,0,E38/B38)</f>
        <v>0</v>
      </c>
    </row>
    <row r="39" spans="1:6" x14ac:dyDescent="0.3">
      <c r="A39" s="24" t="s">
        <v>82</v>
      </c>
      <c r="B39" s="25">
        <f>COUNTIFS(Data!$M$2:$M$501,$A39,Data!$E$2:$E$501,$B$2,Data!$Q$2:$Q$501,$B$3)</f>
        <v>26</v>
      </c>
      <c r="C39" s="25">
        <f>SUMIFS(Data!$J$2:$J$501,Data!$M$2:$M$501,$A39,Data!$E$2:$E$501,$B$2,Data!$Q$2:$Q$501,$B$3)</f>
        <v>5098603.0599999996</v>
      </c>
      <c r="D39" s="26">
        <f>IF($B$41=0,0,B39/$B$41)</f>
        <v>5.1999999999999998E-2</v>
      </c>
      <c r="E39" s="25">
        <f>SUMIFS(Data!$S$2:$S$501,Data!$M$2:$M$501,$A39,Data!$E$2:$E$501,$B$2,Data!$Q$2:$Q$501,$B$3)</f>
        <v>1</v>
      </c>
      <c r="F39" s="26">
        <f>IF(B39=0,0,E39/B39)</f>
        <v>3.8461538461538464E-2</v>
      </c>
    </row>
    <row r="40" spans="1:6" x14ac:dyDescent="0.3">
      <c r="A40" s="24" t="s">
        <v>83</v>
      </c>
      <c r="B40" s="25">
        <f>COUNTIFS(Data!$M$2:$M$501,$A40,Data!$E$2:$E$501,$B$2,Data!$Q$2:$Q$501,$B$3)</f>
        <v>21</v>
      </c>
      <c r="C40" s="25">
        <f>SUMIFS(Data!$J$2:$J$501,Data!$M$2:$M$501,$A40,Data!$E$2:$E$501,$B$2,Data!$Q$2:$Q$501,$B$3)</f>
        <v>3812609.0299999989</v>
      </c>
      <c r="D40" s="26">
        <f>IF($B$41=0,0,B40/$B$41)</f>
        <v>4.2000000000000003E-2</v>
      </c>
      <c r="E40" s="25">
        <f>SUMIFS(Data!$S$2:$S$501,Data!$M$2:$M$501,$A40,Data!$E$2:$E$501,$B$2,Data!$Q$2:$Q$501,$B$3)</f>
        <v>1</v>
      </c>
      <c r="F40" s="26">
        <f>IF(B40=0,0,E40/B40)</f>
        <v>4.7619047619047616E-2</v>
      </c>
    </row>
    <row r="41" spans="1:6" x14ac:dyDescent="0.3">
      <c r="A41" s="27" t="s">
        <v>65</v>
      </c>
      <c r="B41" s="28">
        <f>SUM(B37:B40)</f>
        <v>500</v>
      </c>
      <c r="C41" s="28">
        <f>SUM(C37:C40)</f>
        <v>93933780.490000054</v>
      </c>
      <c r="D41" s="29">
        <f>SUM(D37:D40)</f>
        <v>1</v>
      </c>
      <c r="E41" s="28">
        <f>SUM(E37:E40)</f>
        <v>13</v>
      </c>
      <c r="F41" s="29">
        <f>IF(B41=0,0,E41/B41)</f>
        <v>2.5999999999999999E-2</v>
      </c>
    </row>
    <row r="44" spans="1:6" x14ac:dyDescent="0.3">
      <c r="A44" s="23" t="s">
        <v>84</v>
      </c>
    </row>
    <row r="45" spans="1:6" x14ac:dyDescent="0.3">
      <c r="A45" s="18" t="s">
        <v>85</v>
      </c>
      <c r="B45" s="18" t="s">
        <v>55</v>
      </c>
      <c r="C45" s="18" t="s">
        <v>56</v>
      </c>
      <c r="D45" s="18" t="s">
        <v>57</v>
      </c>
      <c r="E45" s="18" t="s">
        <v>58</v>
      </c>
      <c r="F45" s="18" t="s">
        <v>59</v>
      </c>
    </row>
    <row r="46" spans="1:6" x14ac:dyDescent="0.3">
      <c r="A46" s="24" t="s">
        <v>86</v>
      </c>
      <c r="B46" s="25">
        <f>COUNTIFS(Data!$H$2:$H$501,$A46,Data!$E$2:$E$501,$B$2,Data!$Q$2:$Q$501,$B$3)</f>
        <v>117</v>
      </c>
      <c r="C46" s="25">
        <f>SUMIFS(Data!$J$2:$J$501,Data!$H$2:$H$501,$A46,Data!$E$2:$E$501,$B$2,Data!$Q$2:$Q$501,$B$3)</f>
        <v>22732128.189999994</v>
      </c>
      <c r="D46" s="26">
        <f>IF($B$50=0,0,B46/$B$50)</f>
        <v>0.23400000000000001</v>
      </c>
      <c r="E46" s="25">
        <f>SUMIFS(Data!$S$2:$S$501,Data!$H$2:$H$501,$A46,Data!$E$2:$E$501,$B$2,Data!$Q$2:$Q$501,$B$3)</f>
        <v>7</v>
      </c>
      <c r="F46" s="26">
        <f>IF(B46=0,0,E46/B46)</f>
        <v>5.9829059829059832E-2</v>
      </c>
    </row>
    <row r="47" spans="1:6" x14ac:dyDescent="0.3">
      <c r="A47" s="24" t="s">
        <v>87</v>
      </c>
      <c r="B47" s="25">
        <f>COUNTIFS(Data!$H$2:$H$501,$A47,Data!$E$2:$E$501,$B$2,Data!$Q$2:$Q$501,$B$3)</f>
        <v>126</v>
      </c>
      <c r="C47" s="25">
        <f>SUMIFS(Data!$J$2:$J$501,Data!$H$2:$H$501,$A47,Data!$E$2:$E$501,$B$2,Data!$Q$2:$Q$501,$B$3)</f>
        <v>21355141.700000003</v>
      </c>
      <c r="D47" s="26">
        <f>IF($B$50=0,0,B47/$B$50)</f>
        <v>0.252</v>
      </c>
      <c r="E47" s="25">
        <f>SUMIFS(Data!$S$2:$S$501,Data!$H$2:$H$501,$A47,Data!$E$2:$E$501,$B$2,Data!$Q$2:$Q$501,$B$3)</f>
        <v>4</v>
      </c>
      <c r="F47" s="26">
        <f>IF(B47=0,0,E47/B47)</f>
        <v>3.1746031746031744E-2</v>
      </c>
    </row>
    <row r="48" spans="1:6" x14ac:dyDescent="0.3">
      <c r="A48" s="24" t="s">
        <v>88</v>
      </c>
      <c r="B48" s="25">
        <f>COUNTIFS(Data!$H$2:$H$501,$A48,Data!$E$2:$E$501,$B$2,Data!$Q$2:$Q$501,$B$3)</f>
        <v>120</v>
      </c>
      <c r="C48" s="25">
        <f>SUMIFS(Data!$J$2:$J$501,Data!$H$2:$H$501,$A48,Data!$E$2:$E$501,$B$2,Data!$Q$2:$Q$501,$B$3)</f>
        <v>23006905.11999999</v>
      </c>
      <c r="D48" s="26">
        <f>IF($B$50=0,0,B48/$B$50)</f>
        <v>0.24</v>
      </c>
      <c r="E48" s="25">
        <f>SUMIFS(Data!$S$2:$S$501,Data!$H$2:$H$501,$A48,Data!$E$2:$E$501,$B$2,Data!$Q$2:$Q$501,$B$3)</f>
        <v>1</v>
      </c>
      <c r="F48" s="26">
        <f>IF(B48=0,0,E48/B48)</f>
        <v>8.3333333333333332E-3</v>
      </c>
    </row>
    <row r="49" spans="1:6" x14ac:dyDescent="0.3">
      <c r="A49" s="24" t="s">
        <v>89</v>
      </c>
      <c r="B49" s="25">
        <f>COUNTIFS(Data!$H$2:$H$501,$A49,Data!$E$2:$E$501,$B$2,Data!$Q$2:$Q$501,$B$3)</f>
        <v>137</v>
      </c>
      <c r="C49" s="25">
        <f>SUMIFS(Data!$J$2:$J$501,Data!$H$2:$H$501,$A49,Data!$E$2:$E$501,$B$2,Data!$Q$2:$Q$501,$B$3)</f>
        <v>26839605.480000012</v>
      </c>
      <c r="D49" s="26">
        <f>IF($B$50=0,0,B49/$B$50)</f>
        <v>0.27400000000000002</v>
      </c>
      <c r="E49" s="25">
        <f>SUMIFS(Data!$S$2:$S$501,Data!$H$2:$H$501,$A49,Data!$E$2:$E$501,$B$2,Data!$Q$2:$Q$501,$B$3)</f>
        <v>1</v>
      </c>
      <c r="F49" s="26">
        <f>IF(B49=0,0,E49/B49)</f>
        <v>7.2992700729927005E-3</v>
      </c>
    </row>
    <row r="50" spans="1:6" x14ac:dyDescent="0.3">
      <c r="A50" s="27" t="s">
        <v>65</v>
      </c>
      <c r="B50" s="28">
        <f>SUM(B46:B49)</f>
        <v>500</v>
      </c>
      <c r="C50" s="28">
        <f>SUM(C46:C49)</f>
        <v>93933780.49000001</v>
      </c>
      <c r="D50" s="29">
        <f>SUM(D46:D49)</f>
        <v>1</v>
      </c>
      <c r="E50" s="28">
        <f>SUM(E46:E49)</f>
        <v>13</v>
      </c>
      <c r="F50" s="29">
        <f>IF(B50=0,0,E50/B50)</f>
        <v>2.5999999999999999E-2</v>
      </c>
    </row>
    <row r="53" spans="1:6" x14ac:dyDescent="0.3">
      <c r="A53" s="23" t="s">
        <v>90</v>
      </c>
    </row>
    <row r="54" spans="1:6" x14ac:dyDescent="0.3">
      <c r="A54" s="18" t="s">
        <v>91</v>
      </c>
      <c r="B54" s="18" t="s">
        <v>55</v>
      </c>
      <c r="C54" s="18" t="s">
        <v>56</v>
      </c>
      <c r="D54" s="18" t="s">
        <v>57</v>
      </c>
      <c r="E54" s="18" t="s">
        <v>58</v>
      </c>
      <c r="F54" s="18" t="s">
        <v>59</v>
      </c>
    </row>
    <row r="55" spans="1:6" x14ac:dyDescent="0.3">
      <c r="A55" s="24" t="s">
        <v>92</v>
      </c>
      <c r="B55" s="25">
        <f>COUNTIFS(Data!$T$2:$T$501,$A55,Data!$E$2:$E$501,$B$2,Data!$Q$2:$Q$501,$B$3)</f>
        <v>174</v>
      </c>
      <c r="C55" s="25">
        <f>SUMIFS(Data!$J$2:$J$501,Data!$T$2:$T$501,$A55,Data!$E$2:$E$501,$B$2,Data!$Q$2:$Q$501,$B$3)</f>
        <v>34796029.379999995</v>
      </c>
      <c r="D55" s="26">
        <f>IF($B$58=0,0,B55/$B$58)</f>
        <v>0.34799999999999998</v>
      </c>
      <c r="E55" s="25">
        <f>SUMIFS(Data!$S$2:$S$501,Data!$T$2:$T$501,$A55,Data!$E$2:$E$501,$B$2,Data!$Q$2:$Q$501,$B$3)</f>
        <v>4</v>
      </c>
      <c r="F55" s="26">
        <f>IF(B55=0,0,E55/B55)</f>
        <v>2.2988505747126436E-2</v>
      </c>
    </row>
    <row r="56" spans="1:6" x14ac:dyDescent="0.3">
      <c r="A56" s="24" t="s">
        <v>93</v>
      </c>
      <c r="B56" s="25">
        <f>COUNTIFS(Data!$T$2:$T$501,$A56,Data!$E$2:$E$501,$B$2,Data!$Q$2:$Q$501,$B$3)</f>
        <v>228</v>
      </c>
      <c r="C56" s="25">
        <f>SUMIFS(Data!$J$2:$J$501,Data!$T$2:$T$501,$A56,Data!$E$2:$E$501,$B$2,Data!$Q$2:$Q$501,$B$3)</f>
        <v>42278758.360000014</v>
      </c>
      <c r="D56" s="26">
        <f>IF($B$58=0,0,B56/$B$58)</f>
        <v>0.45600000000000002</v>
      </c>
      <c r="E56" s="25">
        <f>SUMIFS(Data!$S$2:$S$501,Data!$T$2:$T$501,$A56,Data!$E$2:$E$501,$B$2,Data!$Q$2:$Q$501,$B$3)</f>
        <v>4</v>
      </c>
      <c r="F56" s="26">
        <f>IF(B56=0,0,E56/B56)</f>
        <v>1.7543859649122806E-2</v>
      </c>
    </row>
    <row r="57" spans="1:6" x14ac:dyDescent="0.3">
      <c r="A57" s="24" t="s">
        <v>94</v>
      </c>
      <c r="B57" s="25">
        <f>COUNTIFS(Data!$T$2:$T$501,$A57,Data!$E$2:$E$501,$B$2,Data!$Q$2:$Q$501,$B$3)</f>
        <v>98</v>
      </c>
      <c r="C57" s="25">
        <f>SUMIFS(Data!$J$2:$J$501,Data!$T$2:$T$501,$A57,Data!$E$2:$E$501,$B$2,Data!$Q$2:$Q$501,$B$3)</f>
        <v>16858992.75</v>
      </c>
      <c r="D57" s="26">
        <f>IF($B$58=0,0,B57/$B$58)</f>
        <v>0.19600000000000001</v>
      </c>
      <c r="E57" s="25">
        <f>SUMIFS(Data!$S$2:$S$501,Data!$T$2:$T$501,$A57,Data!$E$2:$E$501,$B$2,Data!$Q$2:$Q$501,$B$3)</f>
        <v>5</v>
      </c>
      <c r="F57" s="26">
        <f>IF(B57=0,0,E57/B57)</f>
        <v>5.1020408163265307E-2</v>
      </c>
    </row>
    <row r="58" spans="1:6" x14ac:dyDescent="0.3">
      <c r="A58" s="27" t="s">
        <v>65</v>
      </c>
      <c r="B58" s="28">
        <f>SUM(B55:B57)</f>
        <v>500</v>
      </c>
      <c r="C58" s="28">
        <f>SUM(C55:C57)</f>
        <v>93933780.49000001</v>
      </c>
      <c r="D58" s="29">
        <f>SUM(D55:D57)</f>
        <v>1</v>
      </c>
      <c r="E58" s="28">
        <f>SUM(E55:E57)</f>
        <v>13</v>
      </c>
      <c r="F58" s="29">
        <f>IF(B58=0,0,E58/B58)</f>
        <v>2.5999999999999999E-2</v>
      </c>
    </row>
    <row r="61" spans="1:6" x14ac:dyDescent="0.3">
      <c r="A61" s="23" t="s">
        <v>95</v>
      </c>
    </row>
    <row r="62" spans="1:6" x14ac:dyDescent="0.3">
      <c r="A62" s="18" t="s">
        <v>96</v>
      </c>
      <c r="B62" s="18" t="s">
        <v>55</v>
      </c>
      <c r="C62" s="18" t="s">
        <v>56</v>
      </c>
      <c r="D62" s="18" t="s">
        <v>57</v>
      </c>
      <c r="E62" s="18" t="s">
        <v>58</v>
      </c>
      <c r="F62" s="18" t="s">
        <v>59</v>
      </c>
    </row>
    <row r="63" spans="1:6" x14ac:dyDescent="0.3">
      <c r="A63" s="24" t="s">
        <v>97</v>
      </c>
      <c r="B63" s="25">
        <f>COUNTIFS(Data!$U$2:$U$501,$A63,Data!$E$2:$E$501,$B$2,Data!$Q$2:$Q$501,$B$3)</f>
        <v>0</v>
      </c>
      <c r="C63" s="25">
        <f>SUMIFS(Data!$J$2:$J$501,Data!$U$2:$U$501,$A63,Data!$E$2:$E$501,$B$2,Data!$Q$2:$Q$501,$B$3)</f>
        <v>0</v>
      </c>
      <c r="D63" s="26">
        <f>IF($B$65=0,0,B63/$B$65)</f>
        <v>0</v>
      </c>
      <c r="E63" s="25">
        <f>SUMIFS(Data!$S$2:$S$501,Data!$U$2:$U$501,$A63,Data!$E$2:$E$501,$B$2,Data!$Q$2:$Q$501,$B$3)</f>
        <v>0</v>
      </c>
      <c r="F63" s="26">
        <f>IF(B63=0,0,E63/B63)</f>
        <v>0</v>
      </c>
    </row>
    <row r="64" spans="1:6" x14ac:dyDescent="0.3">
      <c r="A64" s="24" t="s">
        <v>98</v>
      </c>
      <c r="B64" s="25">
        <f>COUNTIFS(Data!$U$2:$U$501,$A64,Data!$E$2:$E$501,$B$2,Data!$Q$2:$Q$501,$B$3)</f>
        <v>500</v>
      </c>
      <c r="C64" s="25">
        <f>SUMIFS(Data!$J$2:$J$501,Data!$U$2:$U$501,$A64,Data!$E$2:$E$501,$B$2,Data!$Q$2:$Q$501,$B$3)</f>
        <v>93933780.490000069</v>
      </c>
      <c r="D64" s="26">
        <f>IF($B$65=0,0,B64/$B$65)</f>
        <v>1</v>
      </c>
      <c r="E64" s="25">
        <f>SUMIFS(Data!$S$2:$S$501,Data!$U$2:$U$501,$A64,Data!$E$2:$E$501,$B$2,Data!$Q$2:$Q$501,$B$3)</f>
        <v>13</v>
      </c>
      <c r="F64" s="26">
        <f>IF(B64=0,0,E64/B64)</f>
        <v>2.5999999999999999E-2</v>
      </c>
    </row>
    <row r="65" spans="1:6" x14ac:dyDescent="0.3">
      <c r="A65" s="27" t="s">
        <v>65</v>
      </c>
      <c r="B65" s="28">
        <f>SUM(B63:B64)</f>
        <v>500</v>
      </c>
      <c r="C65" s="28">
        <f>SUM(C63:C64)</f>
        <v>93933780.490000069</v>
      </c>
      <c r="D65" s="29">
        <f>SUM(D63:D64)</f>
        <v>1</v>
      </c>
      <c r="E65" s="28">
        <f>SUM(E63:E64)</f>
        <v>13</v>
      </c>
      <c r="F65" s="29">
        <f>IF(B65=0,0,E65/B65)</f>
        <v>2.5999999999999999E-2</v>
      </c>
    </row>
    <row r="68" spans="1:6" x14ac:dyDescent="0.3">
      <c r="A68" s="23" t="s">
        <v>99</v>
      </c>
    </row>
    <row r="69" spans="1:6" x14ac:dyDescent="0.3">
      <c r="A69" s="18" t="s">
        <v>100</v>
      </c>
      <c r="B69" s="18" t="s">
        <v>101</v>
      </c>
      <c r="C69" s="18" t="s">
        <v>55</v>
      </c>
      <c r="D69" s="18" t="s">
        <v>56</v>
      </c>
      <c r="E69" s="18" t="s">
        <v>58</v>
      </c>
    </row>
    <row r="70" spans="1:6" x14ac:dyDescent="0.3">
      <c r="A70" s="30">
        <v>45108</v>
      </c>
      <c r="B70" s="24" t="str">
        <f t="shared" ref="B70:B94" si="2">TEXT(A70,"mmm yy")</f>
        <v>Jul 23</v>
      </c>
      <c r="C70" s="25">
        <f>COUNTIFS(Data!$R$2:$R$501,$A70,Data!$E$2:$E$501,$B$2)</f>
        <v>14</v>
      </c>
      <c r="D70" s="25">
        <f>SUMIFS(Data!$J$2:$J$501,Data!$R$2:$R$501,$A70,Data!$E$2:$E$501,$B$2)</f>
        <v>3570334.2399999998</v>
      </c>
      <c r="E70" s="25">
        <f>SUMIFS(Data!$S$2:$S$501,Data!$R$2:$R$501,$A70,Data!$E$2:$E$501,$B$2)</f>
        <v>0</v>
      </c>
    </row>
    <row r="71" spans="1:6" x14ac:dyDescent="0.3">
      <c r="A71" s="30">
        <v>45139</v>
      </c>
      <c r="B71" s="24" t="str">
        <f t="shared" si="2"/>
        <v>Aug 23</v>
      </c>
      <c r="C71" s="25">
        <f>COUNTIFS(Data!$R$2:$R$501,$A71,Data!$E$2:$E$501,$B$2)</f>
        <v>20</v>
      </c>
      <c r="D71" s="25">
        <f>SUMIFS(Data!$J$2:$J$501,Data!$R$2:$R$501,$A71,Data!$E$2:$E$501,$B$2)</f>
        <v>4054808.0700000003</v>
      </c>
      <c r="E71" s="25">
        <f>SUMIFS(Data!$S$2:$S$501,Data!$R$2:$R$501,$A71,Data!$E$2:$E$501,$B$2)</f>
        <v>0</v>
      </c>
    </row>
    <row r="72" spans="1:6" x14ac:dyDescent="0.3">
      <c r="A72" s="30">
        <v>45170</v>
      </c>
      <c r="B72" s="24" t="str">
        <f t="shared" si="2"/>
        <v>Sep 23</v>
      </c>
      <c r="C72" s="25">
        <f>COUNTIFS(Data!$R$2:$R$501,$A72,Data!$E$2:$E$501,$B$2)</f>
        <v>17</v>
      </c>
      <c r="D72" s="25">
        <f>SUMIFS(Data!$J$2:$J$501,Data!$R$2:$R$501,$A72,Data!$E$2:$E$501,$B$2)</f>
        <v>2048422.77</v>
      </c>
      <c r="E72" s="25">
        <f>SUMIFS(Data!$S$2:$S$501,Data!$R$2:$R$501,$A72,Data!$E$2:$E$501,$B$2)</f>
        <v>0</v>
      </c>
    </row>
    <row r="73" spans="1:6" x14ac:dyDescent="0.3">
      <c r="A73" s="30">
        <v>45200</v>
      </c>
      <c r="B73" s="24" t="str">
        <f t="shared" si="2"/>
        <v>Oct 23</v>
      </c>
      <c r="C73" s="25">
        <f>COUNTIFS(Data!$R$2:$R$501,$A73,Data!$E$2:$E$501,$B$2)</f>
        <v>15</v>
      </c>
      <c r="D73" s="25">
        <f>SUMIFS(Data!$J$2:$J$501,Data!$R$2:$R$501,$A73,Data!$E$2:$E$501,$B$2)</f>
        <v>3066308.9599999995</v>
      </c>
      <c r="E73" s="25">
        <f>SUMIFS(Data!$S$2:$S$501,Data!$R$2:$R$501,$A73,Data!$E$2:$E$501,$B$2)</f>
        <v>0</v>
      </c>
    </row>
    <row r="74" spans="1:6" x14ac:dyDescent="0.3">
      <c r="A74" s="30">
        <v>45231</v>
      </c>
      <c r="B74" s="24" t="str">
        <f t="shared" si="2"/>
        <v>Nov 23</v>
      </c>
      <c r="C74" s="25">
        <f>COUNTIFS(Data!$R$2:$R$501,$A74,Data!$E$2:$E$501,$B$2)</f>
        <v>28</v>
      </c>
      <c r="D74" s="25">
        <f>SUMIFS(Data!$J$2:$J$501,Data!$R$2:$R$501,$A74,Data!$E$2:$E$501,$B$2)</f>
        <v>5386301.2400000002</v>
      </c>
      <c r="E74" s="25">
        <f>SUMIFS(Data!$S$2:$S$501,Data!$R$2:$R$501,$A74,Data!$E$2:$E$501,$B$2)</f>
        <v>0</v>
      </c>
    </row>
    <row r="75" spans="1:6" x14ac:dyDescent="0.3">
      <c r="A75" s="30">
        <v>45261</v>
      </c>
      <c r="B75" s="24" t="str">
        <f t="shared" si="2"/>
        <v>Dec 23</v>
      </c>
      <c r="C75" s="25">
        <f>COUNTIFS(Data!$R$2:$R$501,$A75,Data!$E$2:$E$501,$B$2)</f>
        <v>23</v>
      </c>
      <c r="D75" s="25">
        <f>SUMIFS(Data!$J$2:$J$501,Data!$R$2:$R$501,$A75,Data!$E$2:$E$501,$B$2)</f>
        <v>4468757.2100000009</v>
      </c>
      <c r="E75" s="25">
        <f>SUMIFS(Data!$S$2:$S$501,Data!$R$2:$R$501,$A75,Data!$E$2:$E$501,$B$2)</f>
        <v>0</v>
      </c>
    </row>
    <row r="76" spans="1:6" x14ac:dyDescent="0.3">
      <c r="A76" s="30">
        <v>45292</v>
      </c>
      <c r="B76" s="24" t="str">
        <f t="shared" si="2"/>
        <v>Jan 24</v>
      </c>
      <c r="C76" s="25">
        <f>COUNTIFS(Data!$R$2:$R$501,$A76,Data!$E$2:$E$501,$B$2)</f>
        <v>19</v>
      </c>
      <c r="D76" s="25">
        <f>SUMIFS(Data!$J$2:$J$501,Data!$R$2:$R$501,$A76,Data!$E$2:$E$501,$B$2)</f>
        <v>4858984.9300000006</v>
      </c>
      <c r="E76" s="25">
        <f>SUMIFS(Data!$S$2:$S$501,Data!$R$2:$R$501,$A76,Data!$E$2:$E$501,$B$2)</f>
        <v>0</v>
      </c>
    </row>
    <row r="77" spans="1:6" x14ac:dyDescent="0.3">
      <c r="A77" s="30">
        <v>45323</v>
      </c>
      <c r="B77" s="24" t="str">
        <f t="shared" si="2"/>
        <v>Feb 24</v>
      </c>
      <c r="C77" s="25">
        <f>COUNTIFS(Data!$R$2:$R$501,$A77,Data!$E$2:$E$501,$B$2)</f>
        <v>21</v>
      </c>
      <c r="D77" s="25">
        <f>SUMIFS(Data!$J$2:$J$501,Data!$R$2:$R$501,$A77,Data!$E$2:$E$501,$B$2)</f>
        <v>3486546.7899999996</v>
      </c>
      <c r="E77" s="25">
        <f>SUMIFS(Data!$S$2:$S$501,Data!$R$2:$R$501,$A77,Data!$E$2:$E$501,$B$2)</f>
        <v>1</v>
      </c>
    </row>
    <row r="78" spans="1:6" x14ac:dyDescent="0.3">
      <c r="A78" s="30">
        <v>45352</v>
      </c>
      <c r="B78" s="24" t="str">
        <f t="shared" si="2"/>
        <v>Mar 24</v>
      </c>
      <c r="C78" s="25">
        <f>COUNTIFS(Data!$R$2:$R$501,$A78,Data!$E$2:$E$501,$B$2)</f>
        <v>22</v>
      </c>
      <c r="D78" s="25">
        <f>SUMIFS(Data!$J$2:$J$501,Data!$R$2:$R$501,$A78,Data!$E$2:$E$501,$B$2)</f>
        <v>4138981.65</v>
      </c>
      <c r="E78" s="25">
        <f>SUMIFS(Data!$S$2:$S$501,Data!$R$2:$R$501,$A78,Data!$E$2:$E$501,$B$2)</f>
        <v>4</v>
      </c>
    </row>
    <row r="79" spans="1:6" x14ac:dyDescent="0.3">
      <c r="A79" s="30">
        <v>45383</v>
      </c>
      <c r="B79" s="24" t="str">
        <f t="shared" si="2"/>
        <v>Apr 24</v>
      </c>
      <c r="C79" s="25">
        <f>COUNTIFS(Data!$R$2:$R$501,$A79,Data!$E$2:$E$501,$B$2)</f>
        <v>24</v>
      </c>
      <c r="D79" s="25">
        <f>SUMIFS(Data!$J$2:$J$501,Data!$R$2:$R$501,$A79,Data!$E$2:$E$501,$B$2)</f>
        <v>5107154.71</v>
      </c>
      <c r="E79" s="25">
        <f>SUMIFS(Data!$S$2:$S$501,Data!$R$2:$R$501,$A79,Data!$E$2:$E$501,$B$2)</f>
        <v>0</v>
      </c>
    </row>
    <row r="80" spans="1:6" x14ac:dyDescent="0.3">
      <c r="A80" s="30">
        <v>45413</v>
      </c>
      <c r="B80" s="24" t="str">
        <f t="shared" si="2"/>
        <v>May 24</v>
      </c>
      <c r="C80" s="25">
        <f>COUNTIFS(Data!$R$2:$R$501,$A80,Data!$E$2:$E$501,$B$2)</f>
        <v>26</v>
      </c>
      <c r="D80" s="25">
        <f>SUMIFS(Data!$J$2:$J$501,Data!$R$2:$R$501,$A80,Data!$E$2:$E$501,$B$2)</f>
        <v>3764278.4999999991</v>
      </c>
      <c r="E80" s="25">
        <f>SUMIFS(Data!$S$2:$S$501,Data!$R$2:$R$501,$A80,Data!$E$2:$E$501,$B$2)</f>
        <v>1</v>
      </c>
    </row>
    <row r="81" spans="1:5" x14ac:dyDescent="0.3">
      <c r="A81" s="30">
        <v>45444</v>
      </c>
      <c r="B81" s="24" t="str">
        <f t="shared" si="2"/>
        <v>Jun 24</v>
      </c>
      <c r="C81" s="25">
        <f>COUNTIFS(Data!$R$2:$R$501,$A81,Data!$E$2:$E$501,$B$2)</f>
        <v>18</v>
      </c>
      <c r="D81" s="25">
        <f>SUMIFS(Data!$J$2:$J$501,Data!$R$2:$R$501,$A81,Data!$E$2:$E$501,$B$2)</f>
        <v>3872263.0800000005</v>
      </c>
      <c r="E81" s="25">
        <f>SUMIFS(Data!$S$2:$S$501,Data!$R$2:$R$501,$A81,Data!$E$2:$E$501,$B$2)</f>
        <v>1</v>
      </c>
    </row>
    <row r="82" spans="1:5" x14ac:dyDescent="0.3">
      <c r="A82" s="30">
        <v>45474</v>
      </c>
      <c r="B82" s="24" t="str">
        <f t="shared" si="2"/>
        <v>Jul 24</v>
      </c>
      <c r="C82" s="25">
        <f>COUNTIFS(Data!$R$2:$R$501,$A82,Data!$E$2:$E$501,$B$2)</f>
        <v>16</v>
      </c>
      <c r="D82" s="25">
        <f>SUMIFS(Data!$J$2:$J$501,Data!$R$2:$R$501,$A82,Data!$E$2:$E$501,$B$2)</f>
        <v>2422662.2999999998</v>
      </c>
      <c r="E82" s="25">
        <f>SUMIFS(Data!$S$2:$S$501,Data!$R$2:$R$501,$A82,Data!$E$2:$E$501,$B$2)</f>
        <v>0</v>
      </c>
    </row>
    <row r="83" spans="1:5" x14ac:dyDescent="0.3">
      <c r="A83" s="30">
        <v>45505</v>
      </c>
      <c r="B83" s="24" t="str">
        <f t="shared" si="2"/>
        <v>Aug 24</v>
      </c>
      <c r="C83" s="25">
        <f>COUNTIFS(Data!$R$2:$R$501,$A83,Data!$E$2:$E$501,$B$2)</f>
        <v>19</v>
      </c>
      <c r="D83" s="25">
        <f>SUMIFS(Data!$J$2:$J$501,Data!$R$2:$R$501,$A83,Data!$E$2:$E$501,$B$2)</f>
        <v>3391426.1499999994</v>
      </c>
      <c r="E83" s="25">
        <f>SUMIFS(Data!$S$2:$S$501,Data!$R$2:$R$501,$A83,Data!$E$2:$E$501,$B$2)</f>
        <v>0</v>
      </c>
    </row>
    <row r="84" spans="1:5" x14ac:dyDescent="0.3">
      <c r="A84" s="30">
        <v>45536</v>
      </c>
      <c r="B84" s="24" t="str">
        <f t="shared" si="2"/>
        <v>Sep 24</v>
      </c>
      <c r="C84" s="25">
        <f>COUNTIFS(Data!$R$2:$R$501,$A84,Data!$E$2:$E$501,$B$2)</f>
        <v>23</v>
      </c>
      <c r="D84" s="25">
        <f>SUMIFS(Data!$J$2:$J$501,Data!$R$2:$R$501,$A84,Data!$E$2:$E$501,$B$2)</f>
        <v>3523998.87</v>
      </c>
      <c r="E84" s="25">
        <f>SUMIFS(Data!$S$2:$S$501,Data!$R$2:$R$501,$A84,Data!$E$2:$E$501,$B$2)</f>
        <v>0</v>
      </c>
    </row>
    <row r="85" spans="1:5" x14ac:dyDescent="0.3">
      <c r="A85" s="30">
        <v>45566</v>
      </c>
      <c r="B85" s="24" t="str">
        <f t="shared" si="2"/>
        <v>Oct 24</v>
      </c>
      <c r="C85" s="25">
        <f>COUNTIFS(Data!$R$2:$R$501,$A85,Data!$E$2:$E$501,$B$2)</f>
        <v>26</v>
      </c>
      <c r="D85" s="25">
        <f>SUMIFS(Data!$J$2:$J$501,Data!$R$2:$R$501,$A85,Data!$E$2:$E$501,$B$2)</f>
        <v>4513182.0499999989</v>
      </c>
      <c r="E85" s="25">
        <f>SUMIFS(Data!$S$2:$S$501,Data!$R$2:$R$501,$A85,Data!$E$2:$E$501,$B$2)</f>
        <v>2</v>
      </c>
    </row>
    <row r="86" spans="1:5" x14ac:dyDescent="0.3">
      <c r="A86" s="30">
        <v>45597</v>
      </c>
      <c r="B86" s="24" t="str">
        <f t="shared" si="2"/>
        <v>Nov 24</v>
      </c>
      <c r="C86" s="25">
        <f>COUNTIFS(Data!$R$2:$R$501,$A86,Data!$E$2:$E$501,$B$2)</f>
        <v>27</v>
      </c>
      <c r="D86" s="25">
        <f>SUMIFS(Data!$J$2:$J$501,Data!$R$2:$R$501,$A86,Data!$E$2:$E$501,$B$2)</f>
        <v>4747001.53</v>
      </c>
      <c r="E86" s="25">
        <f>SUMIFS(Data!$S$2:$S$501,Data!$R$2:$R$501,$A86,Data!$E$2:$E$501,$B$2)</f>
        <v>1</v>
      </c>
    </row>
    <row r="87" spans="1:5" x14ac:dyDescent="0.3">
      <c r="A87" s="30">
        <v>45627</v>
      </c>
      <c r="B87" s="24" t="str">
        <f t="shared" si="2"/>
        <v>Dec 24</v>
      </c>
      <c r="C87" s="25">
        <f>COUNTIFS(Data!$R$2:$R$501,$A87,Data!$E$2:$E$501,$B$2)</f>
        <v>16</v>
      </c>
      <c r="D87" s="25">
        <f>SUMIFS(Data!$J$2:$J$501,Data!$R$2:$R$501,$A87,Data!$E$2:$E$501,$B$2)</f>
        <v>3342404.4400000004</v>
      </c>
      <c r="E87" s="25">
        <f>SUMIFS(Data!$S$2:$S$501,Data!$R$2:$R$501,$A87,Data!$E$2:$E$501,$B$2)</f>
        <v>0</v>
      </c>
    </row>
    <row r="88" spans="1:5" x14ac:dyDescent="0.3">
      <c r="A88" s="30">
        <v>45658</v>
      </c>
      <c r="B88" s="24" t="str">
        <f t="shared" si="2"/>
        <v>Jan 25</v>
      </c>
      <c r="C88" s="25">
        <f>COUNTIFS(Data!$R$2:$R$501,$A88,Data!$E$2:$E$501,$B$2)</f>
        <v>26</v>
      </c>
      <c r="D88" s="25">
        <f>SUMIFS(Data!$J$2:$J$501,Data!$R$2:$R$501,$A88,Data!$E$2:$E$501,$B$2)</f>
        <v>5263711.3099999996</v>
      </c>
      <c r="E88" s="25">
        <f>SUMIFS(Data!$S$2:$S$501,Data!$R$2:$R$501,$A88,Data!$E$2:$E$501,$B$2)</f>
        <v>0</v>
      </c>
    </row>
    <row r="89" spans="1:5" x14ac:dyDescent="0.3">
      <c r="A89" s="30">
        <v>45689</v>
      </c>
      <c r="B89" s="24" t="str">
        <f t="shared" si="2"/>
        <v>Feb 25</v>
      </c>
      <c r="C89" s="25">
        <f>COUNTIFS(Data!$R$2:$R$501,$A89,Data!$E$2:$E$501,$B$2)</f>
        <v>24</v>
      </c>
      <c r="D89" s="25">
        <f>SUMIFS(Data!$J$2:$J$501,Data!$R$2:$R$501,$A89,Data!$E$2:$E$501,$B$2)</f>
        <v>4645795.29</v>
      </c>
      <c r="E89" s="25">
        <f>SUMIFS(Data!$S$2:$S$501,Data!$R$2:$R$501,$A89,Data!$E$2:$E$501,$B$2)</f>
        <v>0</v>
      </c>
    </row>
    <row r="90" spans="1:5" x14ac:dyDescent="0.3">
      <c r="A90" s="30">
        <v>45717</v>
      </c>
      <c r="B90" s="24" t="str">
        <f t="shared" si="2"/>
        <v>Mar 25</v>
      </c>
      <c r="C90" s="25">
        <f>COUNTIFS(Data!$R$2:$R$501,$A90,Data!$E$2:$E$501,$B$2)</f>
        <v>18</v>
      </c>
      <c r="D90" s="25">
        <f>SUMIFS(Data!$J$2:$J$501,Data!$R$2:$R$501,$A90,Data!$E$2:$E$501,$B$2)</f>
        <v>3676813.52</v>
      </c>
      <c r="E90" s="25">
        <f>SUMIFS(Data!$S$2:$S$501,Data!$R$2:$R$501,$A90,Data!$E$2:$E$501,$B$2)</f>
        <v>0</v>
      </c>
    </row>
    <row r="91" spans="1:5" x14ac:dyDescent="0.3">
      <c r="A91" s="30">
        <v>45748</v>
      </c>
      <c r="B91" s="24" t="str">
        <f t="shared" si="2"/>
        <v>Apr 25</v>
      </c>
      <c r="C91" s="25">
        <f>COUNTIFS(Data!$R$2:$R$501,$A91,Data!$E$2:$E$501,$B$2)</f>
        <v>21</v>
      </c>
      <c r="D91" s="25">
        <f>SUMIFS(Data!$J$2:$J$501,Data!$R$2:$R$501,$A91,Data!$E$2:$E$501,$B$2)</f>
        <v>3988613.6300000004</v>
      </c>
      <c r="E91" s="25">
        <f>SUMIFS(Data!$S$2:$S$501,Data!$R$2:$R$501,$A91,Data!$E$2:$E$501,$B$2)</f>
        <v>0</v>
      </c>
    </row>
    <row r="92" spans="1:5" x14ac:dyDescent="0.3">
      <c r="A92" s="30">
        <v>45778</v>
      </c>
      <c r="B92" s="24" t="str">
        <f t="shared" si="2"/>
        <v>May 25</v>
      </c>
      <c r="C92" s="25">
        <f>COUNTIFS(Data!$R$2:$R$501,$A92,Data!$E$2:$E$501,$B$2)</f>
        <v>16</v>
      </c>
      <c r="D92" s="25">
        <f>SUMIFS(Data!$J$2:$J$501,Data!$R$2:$R$501,$A92,Data!$E$2:$E$501,$B$2)</f>
        <v>2262880.6599999997</v>
      </c>
      <c r="E92" s="25">
        <f>SUMIFS(Data!$S$2:$S$501,Data!$R$2:$R$501,$A92,Data!$E$2:$E$501,$B$2)</f>
        <v>3</v>
      </c>
    </row>
    <row r="93" spans="1:5" x14ac:dyDescent="0.3">
      <c r="A93" s="30">
        <v>45809</v>
      </c>
      <c r="B93" s="24" t="str">
        <f t="shared" si="2"/>
        <v>Jun 25</v>
      </c>
      <c r="C93" s="25">
        <f>COUNTIFS(Data!$R$2:$R$501,$A93,Data!$E$2:$E$501,$B$2)</f>
        <v>17</v>
      </c>
      <c r="D93" s="25">
        <f>SUMIFS(Data!$J$2:$J$501,Data!$R$2:$R$501,$A93,Data!$E$2:$E$501,$B$2)</f>
        <v>3569418.01</v>
      </c>
      <c r="E93" s="25">
        <f>SUMIFS(Data!$S$2:$S$501,Data!$R$2:$R$501,$A93,Data!$E$2:$E$501,$B$2)</f>
        <v>0</v>
      </c>
    </row>
    <row r="94" spans="1:5" x14ac:dyDescent="0.3">
      <c r="A94" s="30">
        <v>45839</v>
      </c>
      <c r="B94" s="24" t="str">
        <f t="shared" si="2"/>
        <v>Jul 25</v>
      </c>
      <c r="C94" s="25">
        <f>COUNTIFS(Data!$R$2:$R$501,$A94,Data!$E$2:$E$501,$B$2)</f>
        <v>4</v>
      </c>
      <c r="D94" s="25">
        <f>SUMIFS(Data!$J$2:$J$501,Data!$R$2:$R$501,$A94,Data!$E$2:$E$501,$B$2)</f>
        <v>762730.58</v>
      </c>
      <c r="E94" s="25">
        <f>SUMIFS(Data!$S$2:$S$501,Data!$R$2:$R$501,$A94,Data!$E$2:$E$501,$B$2)</f>
        <v>0</v>
      </c>
    </row>
    <row r="95" spans="1:5" x14ac:dyDescent="0.3">
      <c r="A95" s="27" t="s">
        <v>65</v>
      </c>
      <c r="B95" s="31"/>
      <c r="C95" s="28">
        <f>SUM(C70:C94)</f>
        <v>500</v>
      </c>
      <c r="D95" s="28">
        <f>SUM(D70:D94)</f>
        <v>93933780.489999995</v>
      </c>
      <c r="E95" s="28">
        <f>SUM(E70:E94)</f>
        <v>13</v>
      </c>
    </row>
    <row r="96" spans="1:5" x14ac:dyDescent="0.3">
      <c r="A96" s="16" t="s">
        <v>102</v>
      </c>
    </row>
    <row r="99" spans="1:5" x14ac:dyDescent="0.3">
      <c r="A99" s="23" t="s">
        <v>103</v>
      </c>
    </row>
    <row r="100" spans="1:5" x14ac:dyDescent="0.3">
      <c r="A100" s="18" t="s">
        <v>104</v>
      </c>
      <c r="B100" s="18" t="s">
        <v>105</v>
      </c>
      <c r="C100" s="18" t="s">
        <v>58</v>
      </c>
      <c r="D100" s="18" t="s">
        <v>106</v>
      </c>
      <c r="E100" s="18" t="s">
        <v>59</v>
      </c>
    </row>
    <row r="101" spans="1:5" x14ac:dyDescent="0.3">
      <c r="A101" s="24" t="s">
        <v>107</v>
      </c>
      <c r="B101" s="25">
        <f>COUNTIFS(Data!$G$2:$G$501,$A101,Data!$S$2:$S$501,0,Data!$E$2:$E$501,$B$2,Data!$Q$2:$Q$501,$B$3)</f>
        <v>17</v>
      </c>
      <c r="C101" s="25">
        <f>SUMIFS(Data!$S$2:$S$501,Data!$G$2:$G$501,$A101,Data!$E$2:$E$501,$B$2,Data!$Q$2:$Q$501,$B$3)</f>
        <v>3</v>
      </c>
      <c r="D101" s="25">
        <f t="shared" ref="D101:D125" si="3">B101+C101</f>
        <v>20</v>
      </c>
      <c r="E101" s="26">
        <f t="shared" ref="E101:E126" si="4">IF(D101=0,0,C101/D101)</f>
        <v>0.15</v>
      </c>
    </row>
    <row r="102" spans="1:5" x14ac:dyDescent="0.3">
      <c r="A102" s="24" t="s">
        <v>108</v>
      </c>
      <c r="B102" s="25">
        <f>COUNTIFS(Data!$G$2:$G$501,$A102,Data!$S$2:$S$501,0,Data!$E$2:$E$501,$B$2,Data!$Q$2:$Q$501,$B$3)</f>
        <v>25</v>
      </c>
      <c r="C102" s="25">
        <f>SUMIFS(Data!$S$2:$S$501,Data!$G$2:$G$501,$A102,Data!$E$2:$E$501,$B$2,Data!$Q$2:$Q$501,$B$3)</f>
        <v>1</v>
      </c>
      <c r="D102" s="25">
        <f t="shared" si="3"/>
        <v>26</v>
      </c>
      <c r="E102" s="26">
        <f t="shared" si="4"/>
        <v>3.8461538461538464E-2</v>
      </c>
    </row>
    <row r="103" spans="1:5" x14ac:dyDescent="0.3">
      <c r="A103" s="24" t="s">
        <v>109</v>
      </c>
      <c r="B103" s="25">
        <f>COUNTIFS(Data!$G$2:$G$501,$A103,Data!$S$2:$S$501,0,Data!$E$2:$E$501,$B$2,Data!$Q$2:$Q$501,$B$3)</f>
        <v>22</v>
      </c>
      <c r="C103" s="25">
        <f>SUMIFS(Data!$S$2:$S$501,Data!$G$2:$G$501,$A103,Data!$E$2:$E$501,$B$2,Data!$Q$2:$Q$501,$B$3)</f>
        <v>1</v>
      </c>
      <c r="D103" s="25">
        <f t="shared" si="3"/>
        <v>23</v>
      </c>
      <c r="E103" s="26">
        <f t="shared" si="4"/>
        <v>4.3478260869565216E-2</v>
      </c>
    </row>
    <row r="104" spans="1:5" x14ac:dyDescent="0.3">
      <c r="A104" s="24" t="s">
        <v>110</v>
      </c>
      <c r="B104" s="25">
        <f>COUNTIFS(Data!$G$2:$G$501,$A104,Data!$S$2:$S$501,0,Data!$E$2:$E$501,$B$2,Data!$Q$2:$Q$501,$B$3)</f>
        <v>21</v>
      </c>
      <c r="C104" s="25">
        <f>SUMIFS(Data!$S$2:$S$501,Data!$G$2:$G$501,$A104,Data!$E$2:$E$501,$B$2,Data!$Q$2:$Q$501,$B$3)</f>
        <v>1</v>
      </c>
      <c r="D104" s="25">
        <f t="shared" si="3"/>
        <v>22</v>
      </c>
      <c r="E104" s="26">
        <f t="shared" si="4"/>
        <v>4.5454545454545456E-2</v>
      </c>
    </row>
    <row r="105" spans="1:5" x14ac:dyDescent="0.3">
      <c r="A105" s="24" t="s">
        <v>111</v>
      </c>
      <c r="B105" s="25">
        <f>COUNTIFS(Data!$G$2:$G$501,$A105,Data!$S$2:$S$501,0,Data!$E$2:$E$501,$B$2,Data!$Q$2:$Q$501,$B$3)</f>
        <v>21</v>
      </c>
      <c r="C105" s="25">
        <f>SUMIFS(Data!$S$2:$S$501,Data!$G$2:$G$501,$A105,Data!$E$2:$E$501,$B$2,Data!$Q$2:$Q$501,$B$3)</f>
        <v>1</v>
      </c>
      <c r="D105" s="25">
        <f t="shared" si="3"/>
        <v>22</v>
      </c>
      <c r="E105" s="26">
        <f t="shared" si="4"/>
        <v>4.5454545454545456E-2</v>
      </c>
    </row>
    <row r="106" spans="1:5" x14ac:dyDescent="0.3">
      <c r="A106" s="24" t="s">
        <v>112</v>
      </c>
      <c r="B106" s="25">
        <f>COUNTIFS(Data!$G$2:$G$501,$A106,Data!$S$2:$S$501,0,Data!$E$2:$E$501,$B$2,Data!$Q$2:$Q$501,$B$3)</f>
        <v>21</v>
      </c>
      <c r="C106" s="25">
        <f>SUMIFS(Data!$S$2:$S$501,Data!$G$2:$G$501,$A106,Data!$E$2:$E$501,$B$2,Data!$Q$2:$Q$501,$B$3)</f>
        <v>1</v>
      </c>
      <c r="D106" s="25">
        <f t="shared" si="3"/>
        <v>22</v>
      </c>
      <c r="E106" s="26">
        <f t="shared" si="4"/>
        <v>4.5454545454545456E-2</v>
      </c>
    </row>
    <row r="107" spans="1:5" x14ac:dyDescent="0.3">
      <c r="A107" s="24" t="s">
        <v>113</v>
      </c>
      <c r="B107" s="25">
        <f>COUNTIFS(Data!$G$2:$G$501,$A107,Data!$S$2:$S$501,0,Data!$E$2:$E$501,$B$2,Data!$Q$2:$Q$501,$B$3)</f>
        <v>20</v>
      </c>
      <c r="C107" s="25">
        <f>SUMIFS(Data!$S$2:$S$501,Data!$G$2:$G$501,$A107,Data!$E$2:$E$501,$B$2,Data!$Q$2:$Q$501,$B$3)</f>
        <v>1</v>
      </c>
      <c r="D107" s="25">
        <f t="shared" si="3"/>
        <v>21</v>
      </c>
      <c r="E107" s="26">
        <f t="shared" si="4"/>
        <v>4.7619047619047616E-2</v>
      </c>
    </row>
    <row r="108" spans="1:5" x14ac:dyDescent="0.3">
      <c r="A108" s="24" t="s">
        <v>114</v>
      </c>
      <c r="B108" s="25">
        <f>COUNTIFS(Data!$G$2:$G$501,$A108,Data!$S$2:$S$501,0,Data!$E$2:$E$501,$B$2,Data!$Q$2:$Q$501,$B$3)</f>
        <v>19</v>
      </c>
      <c r="C108" s="25">
        <f>SUMIFS(Data!$S$2:$S$501,Data!$G$2:$G$501,$A108,Data!$E$2:$E$501,$B$2,Data!$Q$2:$Q$501,$B$3)</f>
        <v>1</v>
      </c>
      <c r="D108" s="25">
        <f t="shared" si="3"/>
        <v>20</v>
      </c>
      <c r="E108" s="26">
        <f t="shared" si="4"/>
        <v>0.05</v>
      </c>
    </row>
    <row r="109" spans="1:5" x14ac:dyDescent="0.3">
      <c r="A109" s="24" t="s">
        <v>115</v>
      </c>
      <c r="B109" s="25">
        <f>COUNTIFS(Data!$G$2:$G$501,$A109,Data!$S$2:$S$501,0,Data!$E$2:$E$501,$B$2,Data!$Q$2:$Q$501,$B$3)</f>
        <v>18</v>
      </c>
      <c r="C109" s="25">
        <f>SUMIFS(Data!$S$2:$S$501,Data!$G$2:$G$501,$A109,Data!$E$2:$E$501,$B$2,Data!$Q$2:$Q$501,$B$3)</f>
        <v>1</v>
      </c>
      <c r="D109" s="25">
        <f t="shared" si="3"/>
        <v>19</v>
      </c>
      <c r="E109" s="26">
        <f t="shared" si="4"/>
        <v>5.2631578947368418E-2</v>
      </c>
    </row>
    <row r="110" spans="1:5" x14ac:dyDescent="0.3">
      <c r="A110" s="24" t="s">
        <v>116</v>
      </c>
      <c r="B110" s="25">
        <f>COUNTIFS(Data!$G$2:$G$501,$A110,Data!$S$2:$S$501,0,Data!$E$2:$E$501,$B$2,Data!$Q$2:$Q$501,$B$3)</f>
        <v>16</v>
      </c>
      <c r="C110" s="25">
        <f>SUMIFS(Data!$S$2:$S$501,Data!$G$2:$G$501,$A110,Data!$E$2:$E$501,$B$2,Data!$Q$2:$Q$501,$B$3)</f>
        <v>1</v>
      </c>
      <c r="D110" s="25">
        <f t="shared" si="3"/>
        <v>17</v>
      </c>
      <c r="E110" s="26">
        <f t="shared" si="4"/>
        <v>5.8823529411764705E-2</v>
      </c>
    </row>
    <row r="111" spans="1:5" x14ac:dyDescent="0.3">
      <c r="A111" s="24" t="s">
        <v>117</v>
      </c>
      <c r="B111" s="25">
        <f>COUNTIFS(Data!$G$2:$G$501,$A111,Data!$S$2:$S$501,0,Data!$E$2:$E$501,$B$2,Data!$Q$2:$Q$501,$B$3)</f>
        <v>14</v>
      </c>
      <c r="C111" s="25">
        <f>SUMIFS(Data!$S$2:$S$501,Data!$G$2:$G$501,$A111,Data!$E$2:$E$501,$B$2,Data!$Q$2:$Q$501,$B$3)</f>
        <v>1</v>
      </c>
      <c r="D111" s="25">
        <f t="shared" si="3"/>
        <v>15</v>
      </c>
      <c r="E111" s="26">
        <f t="shared" si="4"/>
        <v>6.6666666666666666E-2</v>
      </c>
    </row>
    <row r="112" spans="1:5" x14ac:dyDescent="0.3">
      <c r="A112" s="24" t="s">
        <v>118</v>
      </c>
      <c r="B112" s="25">
        <f>COUNTIFS(Data!$G$2:$G$501,$A112,Data!$S$2:$S$501,0,Data!$E$2:$E$501,$B$2,Data!$Q$2:$Q$501,$B$3)</f>
        <v>28</v>
      </c>
      <c r="C112" s="25">
        <f>SUMIFS(Data!$S$2:$S$501,Data!$G$2:$G$501,$A112,Data!$E$2:$E$501,$B$2,Data!$Q$2:$Q$501,$B$3)</f>
        <v>0</v>
      </c>
      <c r="D112" s="25">
        <f t="shared" si="3"/>
        <v>28</v>
      </c>
      <c r="E112" s="26">
        <f t="shared" si="4"/>
        <v>0</v>
      </c>
    </row>
    <row r="113" spans="1:5" x14ac:dyDescent="0.3">
      <c r="A113" s="24" t="s">
        <v>119</v>
      </c>
      <c r="B113" s="25">
        <f>COUNTIFS(Data!$G$2:$G$501,$A113,Data!$S$2:$S$501,0,Data!$E$2:$E$501,$B$2,Data!$Q$2:$Q$501,$B$3)</f>
        <v>28</v>
      </c>
      <c r="C113" s="25">
        <f>SUMIFS(Data!$S$2:$S$501,Data!$G$2:$G$501,$A113,Data!$E$2:$E$501,$B$2,Data!$Q$2:$Q$501,$B$3)</f>
        <v>0</v>
      </c>
      <c r="D113" s="25">
        <f t="shared" si="3"/>
        <v>28</v>
      </c>
      <c r="E113" s="26">
        <f t="shared" si="4"/>
        <v>0</v>
      </c>
    </row>
    <row r="114" spans="1:5" x14ac:dyDescent="0.3">
      <c r="A114" s="24" t="s">
        <v>120</v>
      </c>
      <c r="B114" s="25">
        <f>COUNTIFS(Data!$G$2:$G$501,$A114,Data!$S$2:$S$501,0,Data!$E$2:$E$501,$B$2,Data!$Q$2:$Q$501,$B$3)</f>
        <v>23</v>
      </c>
      <c r="C114" s="25">
        <f>SUMIFS(Data!$S$2:$S$501,Data!$G$2:$G$501,$A114,Data!$E$2:$E$501,$B$2,Data!$Q$2:$Q$501,$B$3)</f>
        <v>0</v>
      </c>
      <c r="D114" s="25">
        <f t="shared" si="3"/>
        <v>23</v>
      </c>
      <c r="E114" s="26">
        <f t="shared" si="4"/>
        <v>0</v>
      </c>
    </row>
    <row r="115" spans="1:5" x14ac:dyDescent="0.3">
      <c r="A115" s="24" t="s">
        <v>121</v>
      </c>
      <c r="B115" s="25">
        <f>COUNTIFS(Data!$G$2:$G$501,$A115,Data!$S$2:$S$501,0,Data!$E$2:$E$501,$B$2,Data!$Q$2:$Q$501,$B$3)</f>
        <v>22</v>
      </c>
      <c r="C115" s="25">
        <f>SUMIFS(Data!$S$2:$S$501,Data!$G$2:$G$501,$A115,Data!$E$2:$E$501,$B$2,Data!$Q$2:$Q$501,$B$3)</f>
        <v>0</v>
      </c>
      <c r="D115" s="25">
        <f t="shared" si="3"/>
        <v>22</v>
      </c>
      <c r="E115" s="26">
        <f t="shared" si="4"/>
        <v>0</v>
      </c>
    </row>
    <row r="116" spans="1:5" x14ac:dyDescent="0.3">
      <c r="A116" s="24" t="s">
        <v>122</v>
      </c>
      <c r="B116" s="25">
        <f>COUNTIFS(Data!$G$2:$G$501,$A116,Data!$S$2:$S$501,0,Data!$E$2:$E$501,$B$2,Data!$Q$2:$Q$501,$B$3)</f>
        <v>22</v>
      </c>
      <c r="C116" s="25">
        <f>SUMIFS(Data!$S$2:$S$501,Data!$G$2:$G$501,$A116,Data!$E$2:$E$501,$B$2,Data!$Q$2:$Q$501,$B$3)</f>
        <v>0</v>
      </c>
      <c r="D116" s="25">
        <f t="shared" si="3"/>
        <v>22</v>
      </c>
      <c r="E116" s="26">
        <f t="shared" si="4"/>
        <v>0</v>
      </c>
    </row>
    <row r="117" spans="1:5" x14ac:dyDescent="0.3">
      <c r="A117" s="24" t="s">
        <v>123</v>
      </c>
      <c r="B117" s="25">
        <f>COUNTIFS(Data!$G$2:$G$501,$A117,Data!$S$2:$S$501,0,Data!$E$2:$E$501,$B$2,Data!$Q$2:$Q$501,$B$3)</f>
        <v>20</v>
      </c>
      <c r="C117" s="25">
        <f>SUMIFS(Data!$S$2:$S$501,Data!$G$2:$G$501,$A117,Data!$E$2:$E$501,$B$2,Data!$Q$2:$Q$501,$B$3)</f>
        <v>0</v>
      </c>
      <c r="D117" s="25">
        <f t="shared" si="3"/>
        <v>20</v>
      </c>
      <c r="E117" s="26">
        <f t="shared" si="4"/>
        <v>0</v>
      </c>
    </row>
    <row r="118" spans="1:5" x14ac:dyDescent="0.3">
      <c r="A118" s="24" t="s">
        <v>124</v>
      </c>
      <c r="B118" s="25">
        <f>COUNTIFS(Data!$G$2:$G$501,$A118,Data!$S$2:$S$501,0,Data!$E$2:$E$501,$B$2,Data!$Q$2:$Q$501,$B$3)</f>
        <v>19</v>
      </c>
      <c r="C118" s="25">
        <f>SUMIFS(Data!$S$2:$S$501,Data!$G$2:$G$501,$A118,Data!$E$2:$E$501,$B$2,Data!$Q$2:$Q$501,$B$3)</f>
        <v>0</v>
      </c>
      <c r="D118" s="25">
        <f t="shared" si="3"/>
        <v>19</v>
      </c>
      <c r="E118" s="26">
        <f t="shared" si="4"/>
        <v>0</v>
      </c>
    </row>
    <row r="119" spans="1:5" x14ac:dyDescent="0.3">
      <c r="A119" s="24" t="s">
        <v>125</v>
      </c>
      <c r="B119" s="25">
        <f>COUNTIFS(Data!$G$2:$G$501,$A119,Data!$S$2:$S$501,0,Data!$E$2:$E$501,$B$2,Data!$Q$2:$Q$501,$B$3)</f>
        <v>19</v>
      </c>
      <c r="C119" s="25">
        <f>SUMIFS(Data!$S$2:$S$501,Data!$G$2:$G$501,$A119,Data!$E$2:$E$501,$B$2,Data!$Q$2:$Q$501,$B$3)</f>
        <v>0</v>
      </c>
      <c r="D119" s="25">
        <f t="shared" si="3"/>
        <v>19</v>
      </c>
      <c r="E119" s="26">
        <f t="shared" si="4"/>
        <v>0</v>
      </c>
    </row>
    <row r="120" spans="1:5" x14ac:dyDescent="0.3">
      <c r="A120" s="24" t="s">
        <v>126</v>
      </c>
      <c r="B120" s="25">
        <f>COUNTIFS(Data!$G$2:$G$501,$A120,Data!$S$2:$S$501,0,Data!$E$2:$E$501,$B$2,Data!$Q$2:$Q$501,$B$3)</f>
        <v>17</v>
      </c>
      <c r="C120" s="25">
        <f>SUMIFS(Data!$S$2:$S$501,Data!$G$2:$G$501,$A120,Data!$E$2:$E$501,$B$2,Data!$Q$2:$Q$501,$B$3)</f>
        <v>0</v>
      </c>
      <c r="D120" s="25">
        <f t="shared" si="3"/>
        <v>17</v>
      </c>
      <c r="E120" s="26">
        <f t="shared" si="4"/>
        <v>0</v>
      </c>
    </row>
    <row r="121" spans="1:5" x14ac:dyDescent="0.3">
      <c r="A121" s="24" t="s">
        <v>127</v>
      </c>
      <c r="B121" s="25">
        <f>COUNTIFS(Data!$G$2:$G$501,$A121,Data!$S$2:$S$501,0,Data!$E$2:$E$501,$B$2,Data!$Q$2:$Q$501,$B$3)</f>
        <v>17</v>
      </c>
      <c r="C121" s="25">
        <f>SUMIFS(Data!$S$2:$S$501,Data!$G$2:$G$501,$A121,Data!$E$2:$E$501,$B$2,Data!$Q$2:$Q$501,$B$3)</f>
        <v>0</v>
      </c>
      <c r="D121" s="25">
        <f t="shared" si="3"/>
        <v>17</v>
      </c>
      <c r="E121" s="26">
        <f t="shared" si="4"/>
        <v>0</v>
      </c>
    </row>
    <row r="122" spans="1:5" x14ac:dyDescent="0.3">
      <c r="A122" s="24" t="s">
        <v>128</v>
      </c>
      <c r="B122" s="25">
        <f>COUNTIFS(Data!$G$2:$G$501,$A122,Data!$S$2:$S$501,0,Data!$E$2:$E$501,$B$2,Data!$Q$2:$Q$501,$B$3)</f>
        <v>16</v>
      </c>
      <c r="C122" s="25">
        <f>SUMIFS(Data!$S$2:$S$501,Data!$G$2:$G$501,$A122,Data!$E$2:$E$501,$B$2,Data!$Q$2:$Q$501,$B$3)</f>
        <v>0</v>
      </c>
      <c r="D122" s="25">
        <f t="shared" si="3"/>
        <v>16</v>
      </c>
      <c r="E122" s="26">
        <f t="shared" si="4"/>
        <v>0</v>
      </c>
    </row>
    <row r="123" spans="1:5" x14ac:dyDescent="0.3">
      <c r="A123" s="24" t="s">
        <v>129</v>
      </c>
      <c r="B123" s="25">
        <f>COUNTIFS(Data!$G$2:$G$501,$A123,Data!$S$2:$S$501,0,Data!$E$2:$E$501,$B$2,Data!$Q$2:$Q$501,$B$3)</f>
        <v>16</v>
      </c>
      <c r="C123" s="25">
        <f>SUMIFS(Data!$S$2:$S$501,Data!$G$2:$G$501,$A123,Data!$E$2:$E$501,$B$2,Data!$Q$2:$Q$501,$B$3)</f>
        <v>0</v>
      </c>
      <c r="D123" s="25">
        <f t="shared" si="3"/>
        <v>16</v>
      </c>
      <c r="E123" s="26">
        <f t="shared" si="4"/>
        <v>0</v>
      </c>
    </row>
    <row r="124" spans="1:5" x14ac:dyDescent="0.3">
      <c r="A124" s="24" t="s">
        <v>130</v>
      </c>
      <c r="B124" s="25">
        <f>COUNTIFS(Data!$G$2:$G$501,$A124,Data!$S$2:$S$501,0,Data!$E$2:$E$501,$B$2,Data!$Q$2:$Q$501,$B$3)</f>
        <v>14</v>
      </c>
      <c r="C124" s="25">
        <f>SUMIFS(Data!$S$2:$S$501,Data!$G$2:$G$501,$A124,Data!$E$2:$E$501,$B$2,Data!$Q$2:$Q$501,$B$3)</f>
        <v>0</v>
      </c>
      <c r="D124" s="25">
        <f t="shared" si="3"/>
        <v>14</v>
      </c>
      <c r="E124" s="26">
        <f t="shared" si="4"/>
        <v>0</v>
      </c>
    </row>
    <row r="125" spans="1:5" x14ac:dyDescent="0.3">
      <c r="A125" s="24" t="s">
        <v>131</v>
      </c>
      <c r="B125" s="25">
        <f>COUNTIFS(Data!$G$2:$G$501,$A125,Data!$S$2:$S$501,0,Data!$E$2:$E$501,$B$2,Data!$Q$2:$Q$501,$B$3)</f>
        <v>12</v>
      </c>
      <c r="C125" s="25">
        <f>SUMIFS(Data!$S$2:$S$501,Data!$G$2:$G$501,$A125,Data!$E$2:$E$501,$B$2,Data!$Q$2:$Q$501,$B$3)</f>
        <v>0</v>
      </c>
      <c r="D125" s="25">
        <f t="shared" si="3"/>
        <v>12</v>
      </c>
      <c r="E125" s="26">
        <f t="shared" si="4"/>
        <v>0</v>
      </c>
    </row>
    <row r="126" spans="1:5" x14ac:dyDescent="0.3">
      <c r="A126" s="27" t="s">
        <v>65</v>
      </c>
      <c r="B126" s="28">
        <f>SUM(B101:B125)</f>
        <v>487</v>
      </c>
      <c r="C126" s="28">
        <f>SUM(C101:C125)</f>
        <v>13</v>
      </c>
      <c r="D126" s="28">
        <f>SUM(D101:D125)</f>
        <v>500</v>
      </c>
      <c r="E126" s="29">
        <f t="shared" si="4"/>
        <v>2.5999999999999999E-2</v>
      </c>
    </row>
    <row r="127" spans="1:5" x14ac:dyDescent="0.3">
      <c r="A127" s="16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1"/>
  <sheetViews>
    <sheetView topLeftCell="J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12" customWidth="1"/>
    <col min="3" max="3" width="20" customWidth="1"/>
    <col min="4" max="4" width="16" customWidth="1"/>
    <col min="5" max="5" width="10" customWidth="1"/>
    <col min="6" max="6" width="14" customWidth="1"/>
    <col min="7" max="7" width="20" customWidth="1"/>
    <col min="8" max="8" width="18" customWidth="1"/>
    <col min="9" max="9" width="17" customWidth="1"/>
    <col min="10" max="10" width="16" customWidth="1"/>
    <col min="11" max="12" width="14" customWidth="1"/>
    <col min="13" max="13" width="16" customWidth="1"/>
    <col min="14" max="14" width="18" customWidth="1"/>
    <col min="15" max="15" width="9" customWidth="1"/>
    <col min="16" max="16" width="11" customWidth="1"/>
    <col min="17" max="17" width="7" customWidth="1"/>
    <col min="18" max="18" width="12" customWidth="1"/>
    <col min="19" max="19" width="11" customWidth="1"/>
    <col min="20" max="20" width="20" customWidth="1"/>
    <col min="21" max="21" width="14" customWidth="1"/>
  </cols>
  <sheetData>
    <row r="1" spans="1:21" ht="30" customHeight="1" x14ac:dyDescent="0.3">
      <c r="A1" s="18" t="s">
        <v>133</v>
      </c>
      <c r="B1" s="18" t="s">
        <v>134</v>
      </c>
      <c r="C1" s="18" t="s">
        <v>135</v>
      </c>
      <c r="D1" s="18" t="s">
        <v>136</v>
      </c>
      <c r="E1" s="18" t="s">
        <v>54</v>
      </c>
      <c r="F1" s="18" t="s">
        <v>137</v>
      </c>
      <c r="G1" s="18" t="s">
        <v>138</v>
      </c>
      <c r="H1" s="18" t="s">
        <v>85</v>
      </c>
      <c r="I1" s="18" t="s">
        <v>74</v>
      </c>
      <c r="J1" s="18" t="s">
        <v>139</v>
      </c>
      <c r="K1" s="18" t="s">
        <v>67</v>
      </c>
      <c r="L1" s="18" t="s">
        <v>140</v>
      </c>
      <c r="M1" s="18" t="s">
        <v>141</v>
      </c>
      <c r="N1" s="18" t="s">
        <v>142</v>
      </c>
      <c r="O1" s="18" t="s">
        <v>143</v>
      </c>
      <c r="P1" s="18" t="s">
        <v>144</v>
      </c>
      <c r="Q1" s="18" t="s">
        <v>3</v>
      </c>
      <c r="R1" s="18" t="s">
        <v>100</v>
      </c>
      <c r="S1" s="18" t="s">
        <v>145</v>
      </c>
      <c r="T1" s="18" t="s">
        <v>91</v>
      </c>
      <c r="U1" s="18" t="s">
        <v>96</v>
      </c>
    </row>
    <row r="2" spans="1:21" x14ac:dyDescent="0.3">
      <c r="A2" s="21" t="s">
        <v>146</v>
      </c>
      <c r="B2" s="21">
        <v>989374</v>
      </c>
      <c r="C2" s="21" t="s">
        <v>147</v>
      </c>
      <c r="D2" s="21" t="s">
        <v>148</v>
      </c>
      <c r="E2" s="21" t="s">
        <v>60</v>
      </c>
      <c r="F2" s="21" t="s">
        <v>149</v>
      </c>
      <c r="G2" s="21" t="s">
        <v>119</v>
      </c>
      <c r="H2" s="21" t="s">
        <v>88</v>
      </c>
      <c r="I2" s="21" t="s">
        <v>78</v>
      </c>
      <c r="J2" s="32">
        <v>489850.94</v>
      </c>
      <c r="K2" s="21" t="s">
        <v>68</v>
      </c>
      <c r="L2" s="33">
        <v>45756</v>
      </c>
      <c r="M2" s="21" t="s">
        <v>80</v>
      </c>
      <c r="N2" s="32">
        <v>2330149</v>
      </c>
      <c r="O2" s="21" t="s">
        <v>150</v>
      </c>
      <c r="P2" s="21" t="str">
        <f t="shared" ref="P2:P65" si="0">TEXT(L2,"yyyy-mm")</f>
        <v>2025-04</v>
      </c>
      <c r="Q2" s="21">
        <f t="shared" ref="Q2:Q65" si="1">YEAR(L2)</f>
        <v>2025</v>
      </c>
      <c r="R2" s="34">
        <f t="shared" ref="R2:R65" si="2">DATE(YEAR(L2),MONTH(L2),1)</f>
        <v>45748</v>
      </c>
      <c r="S2" s="21">
        <f t="shared" ref="S2:S65" si="3">IF(O2="Yes",1,0)</f>
        <v>0</v>
      </c>
      <c r="T2" s="21" t="str">
        <f t="shared" ref="T2:T65" si="4">IF(OR(K2="UPI",K2="Net Banking"),"Digital",IF(OR(K2="Debit Card",K2="Credit Card"),"Card-Based",IF(K2="Cash","Cash-Based","Unknown")))</f>
        <v>Digital</v>
      </c>
      <c r="U2" s="21" t="str">
        <f t="shared" ref="U2:U65" si="5">IF(COUNTIF($B$2:$B$501,B2)&gt;1,"Frequent","One-Time")</f>
        <v>One-Time</v>
      </c>
    </row>
    <row r="3" spans="1:21" x14ac:dyDescent="0.3">
      <c r="A3" s="21" t="s">
        <v>151</v>
      </c>
      <c r="B3" s="21">
        <v>945035</v>
      </c>
      <c r="C3" s="21" t="s">
        <v>152</v>
      </c>
      <c r="D3" s="21" t="s">
        <v>153</v>
      </c>
      <c r="E3" s="21" t="s">
        <v>61</v>
      </c>
      <c r="F3" s="21" t="s">
        <v>154</v>
      </c>
      <c r="G3" s="21" t="s">
        <v>122</v>
      </c>
      <c r="H3" s="21" t="s">
        <v>89</v>
      </c>
      <c r="I3" s="21" t="s">
        <v>78</v>
      </c>
      <c r="J3" s="32">
        <v>427397.73</v>
      </c>
      <c r="K3" s="21" t="s">
        <v>70</v>
      </c>
      <c r="L3" s="33">
        <v>45228</v>
      </c>
      <c r="M3" s="21" t="s">
        <v>80</v>
      </c>
      <c r="N3" s="32">
        <v>1668521.67</v>
      </c>
      <c r="O3" s="21" t="s">
        <v>150</v>
      </c>
      <c r="P3" s="21" t="str">
        <f t="shared" si="0"/>
        <v>2023-10</v>
      </c>
      <c r="Q3" s="21">
        <f t="shared" si="1"/>
        <v>2023</v>
      </c>
      <c r="R3" s="34">
        <f t="shared" si="2"/>
        <v>45200</v>
      </c>
      <c r="S3" s="21">
        <f t="shared" si="3"/>
        <v>0</v>
      </c>
      <c r="T3" s="21" t="str">
        <f t="shared" si="4"/>
        <v>Card-Based</v>
      </c>
      <c r="U3" s="21" t="str">
        <f t="shared" si="5"/>
        <v>One-Time</v>
      </c>
    </row>
    <row r="4" spans="1:21" x14ac:dyDescent="0.3">
      <c r="A4" s="21" t="s">
        <v>155</v>
      </c>
      <c r="B4" s="21">
        <v>934360</v>
      </c>
      <c r="C4" s="21" t="s">
        <v>156</v>
      </c>
      <c r="D4" s="21" t="s">
        <v>157</v>
      </c>
      <c r="E4" s="21" t="s">
        <v>64</v>
      </c>
      <c r="F4" s="21" t="s">
        <v>158</v>
      </c>
      <c r="G4" s="21" t="s">
        <v>108</v>
      </c>
      <c r="H4" s="21" t="s">
        <v>88</v>
      </c>
      <c r="I4" s="21" t="s">
        <v>77</v>
      </c>
      <c r="J4" s="32">
        <v>110664.95</v>
      </c>
      <c r="K4" s="21" t="s">
        <v>71</v>
      </c>
      <c r="L4" s="33">
        <v>45373</v>
      </c>
      <c r="M4" s="21" t="s">
        <v>80</v>
      </c>
      <c r="N4" s="32">
        <v>853196.48</v>
      </c>
      <c r="O4" s="21" t="s">
        <v>150</v>
      </c>
      <c r="P4" s="21" t="str">
        <f t="shared" si="0"/>
        <v>2024-03</v>
      </c>
      <c r="Q4" s="21">
        <f t="shared" si="1"/>
        <v>2024</v>
      </c>
      <c r="R4" s="34">
        <f t="shared" si="2"/>
        <v>45352</v>
      </c>
      <c r="S4" s="21">
        <f t="shared" si="3"/>
        <v>0</v>
      </c>
      <c r="T4" s="21" t="str">
        <f t="shared" si="4"/>
        <v>Digital</v>
      </c>
      <c r="U4" s="21" t="str">
        <f t="shared" si="5"/>
        <v>One-Time</v>
      </c>
    </row>
    <row r="5" spans="1:21" x14ac:dyDescent="0.3">
      <c r="A5" s="21" t="s">
        <v>159</v>
      </c>
      <c r="B5" s="21">
        <v>570696</v>
      </c>
      <c r="C5" s="21" t="s">
        <v>160</v>
      </c>
      <c r="D5" s="21" t="s">
        <v>161</v>
      </c>
      <c r="E5" s="21" t="s">
        <v>64</v>
      </c>
      <c r="F5" s="21" t="s">
        <v>162</v>
      </c>
      <c r="G5" s="21" t="s">
        <v>114</v>
      </c>
      <c r="H5" s="21" t="s">
        <v>89</v>
      </c>
      <c r="I5" s="21" t="s">
        <v>78</v>
      </c>
      <c r="J5" s="32">
        <v>121505.31</v>
      </c>
      <c r="K5" s="21" t="s">
        <v>68</v>
      </c>
      <c r="L5" s="33">
        <v>45646</v>
      </c>
      <c r="M5" s="21" t="s">
        <v>80</v>
      </c>
      <c r="N5" s="32">
        <v>926115.92</v>
      </c>
      <c r="O5" s="21" t="s">
        <v>150</v>
      </c>
      <c r="P5" s="21" t="str">
        <f t="shared" si="0"/>
        <v>2024-12</v>
      </c>
      <c r="Q5" s="21">
        <f t="shared" si="1"/>
        <v>2024</v>
      </c>
      <c r="R5" s="34">
        <f t="shared" si="2"/>
        <v>45627</v>
      </c>
      <c r="S5" s="21">
        <f t="shared" si="3"/>
        <v>0</v>
      </c>
      <c r="T5" s="21" t="str">
        <f t="shared" si="4"/>
        <v>Digital</v>
      </c>
      <c r="U5" s="21" t="str">
        <f t="shared" si="5"/>
        <v>One-Time</v>
      </c>
    </row>
    <row r="6" spans="1:21" x14ac:dyDescent="0.3">
      <c r="A6" s="21" t="s">
        <v>163</v>
      </c>
      <c r="B6" s="21">
        <v>975319</v>
      </c>
      <c r="C6" s="21" t="s">
        <v>164</v>
      </c>
      <c r="D6" s="21" t="s">
        <v>165</v>
      </c>
      <c r="E6" s="21" t="s">
        <v>60</v>
      </c>
      <c r="F6" s="21" t="s">
        <v>166</v>
      </c>
      <c r="G6" s="21" t="s">
        <v>107</v>
      </c>
      <c r="H6" s="21" t="s">
        <v>88</v>
      </c>
      <c r="I6" s="21" t="s">
        <v>75</v>
      </c>
      <c r="J6" s="32">
        <v>11528.19</v>
      </c>
      <c r="K6" s="21" t="s">
        <v>69</v>
      </c>
      <c r="L6" s="33">
        <v>45506</v>
      </c>
      <c r="M6" s="21" t="s">
        <v>81</v>
      </c>
      <c r="N6" s="32">
        <v>534430.57999999996</v>
      </c>
      <c r="O6" s="21" t="s">
        <v>150</v>
      </c>
      <c r="P6" s="21" t="str">
        <f t="shared" si="0"/>
        <v>2024-08</v>
      </c>
      <c r="Q6" s="21">
        <f t="shared" si="1"/>
        <v>2024</v>
      </c>
      <c r="R6" s="34">
        <f t="shared" si="2"/>
        <v>45505</v>
      </c>
      <c r="S6" s="21">
        <f t="shared" si="3"/>
        <v>0</v>
      </c>
      <c r="T6" s="21" t="str">
        <f t="shared" si="4"/>
        <v>Card-Based</v>
      </c>
      <c r="U6" s="21" t="str">
        <f t="shared" si="5"/>
        <v>One-Time</v>
      </c>
    </row>
    <row r="7" spans="1:21" x14ac:dyDescent="0.3">
      <c r="A7" s="21" t="s">
        <v>167</v>
      </c>
      <c r="B7" s="21">
        <v>895736</v>
      </c>
      <c r="C7" s="21" t="s">
        <v>168</v>
      </c>
      <c r="D7" s="21" t="s">
        <v>169</v>
      </c>
      <c r="E7" s="21" t="s">
        <v>60</v>
      </c>
      <c r="F7" s="21" t="s">
        <v>166</v>
      </c>
      <c r="G7" s="21" t="s">
        <v>107</v>
      </c>
      <c r="H7" s="21" t="s">
        <v>89</v>
      </c>
      <c r="I7" s="21" t="s">
        <v>76</v>
      </c>
      <c r="J7" s="32">
        <v>458663.48</v>
      </c>
      <c r="K7" s="21" t="s">
        <v>69</v>
      </c>
      <c r="L7" s="33">
        <v>45453</v>
      </c>
      <c r="M7" s="21" t="s">
        <v>80</v>
      </c>
      <c r="N7" s="32">
        <v>2011952.25</v>
      </c>
      <c r="O7" s="21" t="s">
        <v>150</v>
      </c>
      <c r="P7" s="21" t="str">
        <f t="shared" si="0"/>
        <v>2024-06</v>
      </c>
      <c r="Q7" s="21">
        <f t="shared" si="1"/>
        <v>2024</v>
      </c>
      <c r="R7" s="34">
        <f t="shared" si="2"/>
        <v>45444</v>
      </c>
      <c r="S7" s="21">
        <f t="shared" si="3"/>
        <v>0</v>
      </c>
      <c r="T7" s="21" t="str">
        <f t="shared" si="4"/>
        <v>Card-Based</v>
      </c>
      <c r="U7" s="21" t="str">
        <f t="shared" si="5"/>
        <v>One-Time</v>
      </c>
    </row>
    <row r="8" spans="1:21" x14ac:dyDescent="0.3">
      <c r="A8" s="21" t="s">
        <v>170</v>
      </c>
      <c r="B8" s="21">
        <v>390841</v>
      </c>
      <c r="C8" s="21" t="s">
        <v>171</v>
      </c>
      <c r="D8" s="21" t="s">
        <v>172</v>
      </c>
      <c r="E8" s="21" t="s">
        <v>60</v>
      </c>
      <c r="F8" s="21" t="s">
        <v>173</v>
      </c>
      <c r="G8" s="21" t="s">
        <v>117</v>
      </c>
      <c r="H8" s="21" t="s">
        <v>88</v>
      </c>
      <c r="I8" s="21" t="s">
        <v>76</v>
      </c>
      <c r="J8" s="32">
        <v>294460.92</v>
      </c>
      <c r="K8" s="21" t="s">
        <v>71</v>
      </c>
      <c r="L8" s="33">
        <v>45577</v>
      </c>
      <c r="M8" s="21" t="s">
        <v>80</v>
      </c>
      <c r="N8" s="32">
        <v>1713155.09</v>
      </c>
      <c r="O8" s="21" t="s">
        <v>150</v>
      </c>
      <c r="P8" s="21" t="str">
        <f t="shared" si="0"/>
        <v>2024-10</v>
      </c>
      <c r="Q8" s="21">
        <f t="shared" si="1"/>
        <v>2024</v>
      </c>
      <c r="R8" s="34">
        <f t="shared" si="2"/>
        <v>45566</v>
      </c>
      <c r="S8" s="21">
        <f t="shared" si="3"/>
        <v>0</v>
      </c>
      <c r="T8" s="21" t="str">
        <f t="shared" si="4"/>
        <v>Digital</v>
      </c>
      <c r="U8" s="21" t="str">
        <f t="shared" si="5"/>
        <v>One-Time</v>
      </c>
    </row>
    <row r="9" spans="1:21" x14ac:dyDescent="0.3">
      <c r="A9" s="21" t="s">
        <v>174</v>
      </c>
      <c r="B9" s="21">
        <v>538077</v>
      </c>
      <c r="C9" s="21" t="s">
        <v>175</v>
      </c>
      <c r="D9" s="21" t="s">
        <v>176</v>
      </c>
      <c r="E9" s="21" t="s">
        <v>64</v>
      </c>
      <c r="F9" s="21" t="s">
        <v>177</v>
      </c>
      <c r="G9" s="21" t="s">
        <v>113</v>
      </c>
      <c r="H9" s="21" t="s">
        <v>89</v>
      </c>
      <c r="I9" s="21" t="s">
        <v>78</v>
      </c>
      <c r="J9" s="32">
        <v>70209.02</v>
      </c>
      <c r="K9" s="21" t="s">
        <v>69</v>
      </c>
      <c r="L9" s="33">
        <v>45436</v>
      </c>
      <c r="M9" s="21" t="s">
        <v>80</v>
      </c>
      <c r="N9" s="32">
        <v>1053966.8899999999</v>
      </c>
      <c r="O9" s="21" t="s">
        <v>150</v>
      </c>
      <c r="P9" s="21" t="str">
        <f t="shared" si="0"/>
        <v>2024-05</v>
      </c>
      <c r="Q9" s="21">
        <f t="shared" si="1"/>
        <v>2024</v>
      </c>
      <c r="R9" s="34">
        <f t="shared" si="2"/>
        <v>45413</v>
      </c>
      <c r="S9" s="21">
        <f t="shared" si="3"/>
        <v>0</v>
      </c>
      <c r="T9" s="21" t="str">
        <f t="shared" si="4"/>
        <v>Card-Based</v>
      </c>
      <c r="U9" s="21" t="str">
        <f t="shared" si="5"/>
        <v>One-Time</v>
      </c>
    </row>
    <row r="10" spans="1:21" x14ac:dyDescent="0.3">
      <c r="A10" s="21" t="s">
        <v>178</v>
      </c>
      <c r="B10" s="21">
        <v>536413</v>
      </c>
      <c r="C10" s="21" t="s">
        <v>179</v>
      </c>
      <c r="D10" s="21" t="s">
        <v>180</v>
      </c>
      <c r="E10" s="21" t="s">
        <v>62</v>
      </c>
      <c r="F10" s="21" t="s">
        <v>181</v>
      </c>
      <c r="G10" s="21" t="s">
        <v>123</v>
      </c>
      <c r="H10" s="21" t="s">
        <v>87</v>
      </c>
      <c r="I10" s="21" t="s">
        <v>78</v>
      </c>
      <c r="J10" s="32">
        <v>305297.37</v>
      </c>
      <c r="K10" s="21" t="s">
        <v>70</v>
      </c>
      <c r="L10" s="33">
        <v>45531</v>
      </c>
      <c r="M10" s="21" t="s">
        <v>80</v>
      </c>
      <c r="N10" s="32">
        <v>2242547.87</v>
      </c>
      <c r="O10" s="21" t="s">
        <v>150</v>
      </c>
      <c r="P10" s="21" t="str">
        <f t="shared" si="0"/>
        <v>2024-08</v>
      </c>
      <c r="Q10" s="21">
        <f t="shared" si="1"/>
        <v>2024</v>
      </c>
      <c r="R10" s="34">
        <f t="shared" si="2"/>
        <v>45505</v>
      </c>
      <c r="S10" s="21">
        <f t="shared" si="3"/>
        <v>0</v>
      </c>
      <c r="T10" s="21" t="str">
        <f t="shared" si="4"/>
        <v>Card-Based</v>
      </c>
      <c r="U10" s="21" t="str">
        <f t="shared" si="5"/>
        <v>One-Time</v>
      </c>
    </row>
    <row r="11" spans="1:21" x14ac:dyDescent="0.3">
      <c r="A11" s="21" t="s">
        <v>182</v>
      </c>
      <c r="B11" s="21">
        <v>706008</v>
      </c>
      <c r="C11" s="21" t="s">
        <v>183</v>
      </c>
      <c r="D11" s="21" t="s">
        <v>184</v>
      </c>
      <c r="E11" s="21" t="s">
        <v>60</v>
      </c>
      <c r="F11" s="21" t="s">
        <v>173</v>
      </c>
      <c r="G11" s="21" t="s">
        <v>117</v>
      </c>
      <c r="H11" s="21" t="s">
        <v>86</v>
      </c>
      <c r="I11" s="21" t="s">
        <v>75</v>
      </c>
      <c r="J11" s="32">
        <v>79976.37</v>
      </c>
      <c r="K11" s="21" t="s">
        <v>70</v>
      </c>
      <c r="L11" s="33">
        <v>45273</v>
      </c>
      <c r="M11" s="21" t="s">
        <v>80</v>
      </c>
      <c r="N11" s="32">
        <v>1766313.5</v>
      </c>
      <c r="O11" s="21" t="s">
        <v>150</v>
      </c>
      <c r="P11" s="21" t="str">
        <f t="shared" si="0"/>
        <v>2023-12</v>
      </c>
      <c r="Q11" s="21">
        <f t="shared" si="1"/>
        <v>2023</v>
      </c>
      <c r="R11" s="34">
        <f t="shared" si="2"/>
        <v>45261</v>
      </c>
      <c r="S11" s="21">
        <f t="shared" si="3"/>
        <v>0</v>
      </c>
      <c r="T11" s="21" t="str">
        <f t="shared" si="4"/>
        <v>Card-Based</v>
      </c>
      <c r="U11" s="21" t="str">
        <f t="shared" si="5"/>
        <v>One-Time</v>
      </c>
    </row>
    <row r="12" spans="1:21" x14ac:dyDescent="0.3">
      <c r="A12" s="21" t="s">
        <v>185</v>
      </c>
      <c r="B12" s="21">
        <v>615941</v>
      </c>
      <c r="C12" s="21" t="s">
        <v>186</v>
      </c>
      <c r="D12" s="21" t="s">
        <v>187</v>
      </c>
      <c r="E12" s="21" t="s">
        <v>64</v>
      </c>
      <c r="F12" s="21" t="s">
        <v>188</v>
      </c>
      <c r="G12" s="21" t="s">
        <v>112</v>
      </c>
      <c r="H12" s="21" t="s">
        <v>87</v>
      </c>
      <c r="I12" s="21" t="s">
        <v>78</v>
      </c>
      <c r="J12" s="32">
        <v>426427.56</v>
      </c>
      <c r="K12" s="21" t="s">
        <v>69</v>
      </c>
      <c r="L12" s="33">
        <v>45121</v>
      </c>
      <c r="M12" s="21" t="s">
        <v>80</v>
      </c>
      <c r="N12" s="32">
        <v>836675.46</v>
      </c>
      <c r="O12" s="21" t="s">
        <v>150</v>
      </c>
      <c r="P12" s="21" t="str">
        <f t="shared" si="0"/>
        <v>2023-07</v>
      </c>
      <c r="Q12" s="21">
        <f t="shared" si="1"/>
        <v>2023</v>
      </c>
      <c r="R12" s="34">
        <f t="shared" si="2"/>
        <v>45108</v>
      </c>
      <c r="S12" s="21">
        <f t="shared" si="3"/>
        <v>0</v>
      </c>
      <c r="T12" s="21" t="str">
        <f t="shared" si="4"/>
        <v>Card-Based</v>
      </c>
      <c r="U12" s="21" t="str">
        <f t="shared" si="5"/>
        <v>One-Time</v>
      </c>
    </row>
    <row r="13" spans="1:21" x14ac:dyDescent="0.3">
      <c r="A13" s="21" t="s">
        <v>189</v>
      </c>
      <c r="B13" s="21">
        <v>565614</v>
      </c>
      <c r="C13" s="21" t="s">
        <v>190</v>
      </c>
      <c r="D13" s="21" t="s">
        <v>191</v>
      </c>
      <c r="E13" s="21" t="s">
        <v>64</v>
      </c>
      <c r="F13" s="21" t="s">
        <v>158</v>
      </c>
      <c r="G13" s="21" t="s">
        <v>108</v>
      </c>
      <c r="H13" s="21" t="s">
        <v>88</v>
      </c>
      <c r="I13" s="21" t="s">
        <v>78</v>
      </c>
      <c r="J13" s="32">
        <v>484637.66</v>
      </c>
      <c r="K13" s="21" t="s">
        <v>71</v>
      </c>
      <c r="L13" s="33">
        <v>45485</v>
      </c>
      <c r="M13" s="21" t="s">
        <v>81</v>
      </c>
      <c r="N13" s="32">
        <v>1552234.03</v>
      </c>
      <c r="O13" s="21" t="s">
        <v>150</v>
      </c>
      <c r="P13" s="21" t="str">
        <f t="shared" si="0"/>
        <v>2024-07</v>
      </c>
      <c r="Q13" s="21">
        <f t="shared" si="1"/>
        <v>2024</v>
      </c>
      <c r="R13" s="34">
        <f t="shared" si="2"/>
        <v>45474</v>
      </c>
      <c r="S13" s="21">
        <f t="shared" si="3"/>
        <v>0</v>
      </c>
      <c r="T13" s="21" t="str">
        <f t="shared" si="4"/>
        <v>Digital</v>
      </c>
      <c r="U13" s="21" t="str">
        <f t="shared" si="5"/>
        <v>One-Time</v>
      </c>
    </row>
    <row r="14" spans="1:21" x14ac:dyDescent="0.3">
      <c r="A14" s="21" t="s">
        <v>192</v>
      </c>
      <c r="B14" s="21">
        <v>161024</v>
      </c>
      <c r="C14" s="21" t="s">
        <v>193</v>
      </c>
      <c r="D14" s="21" t="s">
        <v>194</v>
      </c>
      <c r="E14" s="21" t="s">
        <v>61</v>
      </c>
      <c r="F14" s="21" t="s">
        <v>195</v>
      </c>
      <c r="G14" s="21" t="s">
        <v>116</v>
      </c>
      <c r="H14" s="21" t="s">
        <v>89</v>
      </c>
      <c r="I14" s="21" t="s">
        <v>78</v>
      </c>
      <c r="J14" s="32">
        <v>578105.66</v>
      </c>
      <c r="K14" s="21" t="s">
        <v>70</v>
      </c>
      <c r="L14" s="33">
        <v>45243</v>
      </c>
      <c r="M14" s="21" t="s">
        <v>80</v>
      </c>
      <c r="N14" s="32">
        <v>2235418.34</v>
      </c>
      <c r="O14" s="21" t="s">
        <v>150</v>
      </c>
      <c r="P14" s="21" t="str">
        <f t="shared" si="0"/>
        <v>2023-11</v>
      </c>
      <c r="Q14" s="21">
        <f t="shared" si="1"/>
        <v>2023</v>
      </c>
      <c r="R14" s="34">
        <f t="shared" si="2"/>
        <v>45231</v>
      </c>
      <c r="S14" s="21">
        <f t="shared" si="3"/>
        <v>0</v>
      </c>
      <c r="T14" s="21" t="str">
        <f t="shared" si="4"/>
        <v>Card-Based</v>
      </c>
      <c r="U14" s="21" t="str">
        <f t="shared" si="5"/>
        <v>One-Time</v>
      </c>
    </row>
    <row r="15" spans="1:21" x14ac:dyDescent="0.3">
      <c r="A15" s="21" t="s">
        <v>196</v>
      </c>
      <c r="B15" s="21">
        <v>915727</v>
      </c>
      <c r="C15" s="21" t="s">
        <v>197</v>
      </c>
      <c r="D15" s="21" t="s">
        <v>198</v>
      </c>
      <c r="E15" s="21" t="s">
        <v>62</v>
      </c>
      <c r="F15" s="21" t="s">
        <v>199</v>
      </c>
      <c r="G15" s="21" t="s">
        <v>120</v>
      </c>
      <c r="H15" s="21" t="s">
        <v>86</v>
      </c>
      <c r="I15" s="21" t="s">
        <v>75</v>
      </c>
      <c r="J15" s="32">
        <v>285270.90000000002</v>
      </c>
      <c r="K15" s="21" t="s">
        <v>68</v>
      </c>
      <c r="L15" s="33">
        <v>45837</v>
      </c>
      <c r="M15" s="21" t="s">
        <v>80</v>
      </c>
      <c r="N15" s="32">
        <v>900185.58</v>
      </c>
      <c r="O15" s="21" t="s">
        <v>150</v>
      </c>
      <c r="P15" s="21" t="str">
        <f t="shared" si="0"/>
        <v>2025-06</v>
      </c>
      <c r="Q15" s="21">
        <f t="shared" si="1"/>
        <v>2025</v>
      </c>
      <c r="R15" s="34">
        <f t="shared" si="2"/>
        <v>45809</v>
      </c>
      <c r="S15" s="21">
        <f t="shared" si="3"/>
        <v>0</v>
      </c>
      <c r="T15" s="21" t="str">
        <f t="shared" si="4"/>
        <v>Digital</v>
      </c>
      <c r="U15" s="21" t="str">
        <f t="shared" si="5"/>
        <v>One-Time</v>
      </c>
    </row>
    <row r="16" spans="1:21" x14ac:dyDescent="0.3">
      <c r="A16" s="21" t="s">
        <v>200</v>
      </c>
      <c r="B16" s="21">
        <v>330649</v>
      </c>
      <c r="C16" s="21" t="s">
        <v>201</v>
      </c>
      <c r="D16" s="21" t="s">
        <v>202</v>
      </c>
      <c r="E16" s="21" t="s">
        <v>60</v>
      </c>
      <c r="F16" s="21" t="s">
        <v>203</v>
      </c>
      <c r="G16" s="21" t="s">
        <v>128</v>
      </c>
      <c r="H16" s="21" t="s">
        <v>87</v>
      </c>
      <c r="I16" s="21" t="s">
        <v>78</v>
      </c>
      <c r="J16" s="32">
        <v>419114.61</v>
      </c>
      <c r="K16" s="21" t="s">
        <v>70</v>
      </c>
      <c r="L16" s="33">
        <v>45158</v>
      </c>
      <c r="M16" s="21" t="s">
        <v>80</v>
      </c>
      <c r="N16" s="32">
        <v>2296120.29</v>
      </c>
      <c r="O16" s="21" t="s">
        <v>150</v>
      </c>
      <c r="P16" s="21" t="str">
        <f t="shared" si="0"/>
        <v>2023-08</v>
      </c>
      <c r="Q16" s="21">
        <f t="shared" si="1"/>
        <v>2023</v>
      </c>
      <c r="R16" s="34">
        <f t="shared" si="2"/>
        <v>45139</v>
      </c>
      <c r="S16" s="21">
        <f t="shared" si="3"/>
        <v>0</v>
      </c>
      <c r="T16" s="21" t="str">
        <f t="shared" si="4"/>
        <v>Card-Based</v>
      </c>
      <c r="U16" s="21" t="str">
        <f t="shared" si="5"/>
        <v>One-Time</v>
      </c>
    </row>
    <row r="17" spans="1:21" x14ac:dyDescent="0.3">
      <c r="A17" s="21" t="s">
        <v>204</v>
      </c>
      <c r="B17" s="21">
        <v>128757</v>
      </c>
      <c r="C17" s="21" t="s">
        <v>205</v>
      </c>
      <c r="D17" s="21" t="s">
        <v>206</v>
      </c>
      <c r="E17" s="21" t="s">
        <v>63</v>
      </c>
      <c r="F17" s="21" t="s">
        <v>207</v>
      </c>
      <c r="G17" s="21" t="s">
        <v>127</v>
      </c>
      <c r="H17" s="21" t="s">
        <v>88</v>
      </c>
      <c r="I17" s="21" t="s">
        <v>75</v>
      </c>
      <c r="J17" s="32">
        <v>179240.17</v>
      </c>
      <c r="K17" s="21" t="s">
        <v>69</v>
      </c>
      <c r="L17" s="33">
        <v>45394</v>
      </c>
      <c r="M17" s="21" t="s">
        <v>80</v>
      </c>
      <c r="N17" s="32">
        <v>1836585.45</v>
      </c>
      <c r="O17" s="21" t="s">
        <v>150</v>
      </c>
      <c r="P17" s="21" t="str">
        <f t="shared" si="0"/>
        <v>2024-04</v>
      </c>
      <c r="Q17" s="21">
        <f t="shared" si="1"/>
        <v>2024</v>
      </c>
      <c r="R17" s="34">
        <f t="shared" si="2"/>
        <v>45383</v>
      </c>
      <c r="S17" s="21">
        <f t="shared" si="3"/>
        <v>0</v>
      </c>
      <c r="T17" s="21" t="str">
        <f t="shared" si="4"/>
        <v>Card-Based</v>
      </c>
      <c r="U17" s="21" t="str">
        <f t="shared" si="5"/>
        <v>One-Time</v>
      </c>
    </row>
    <row r="18" spans="1:21" x14ac:dyDescent="0.3">
      <c r="A18" s="21" t="s">
        <v>208</v>
      </c>
      <c r="B18" s="21">
        <v>565942</v>
      </c>
      <c r="C18" s="21" t="s">
        <v>209</v>
      </c>
      <c r="D18" s="21" t="s">
        <v>210</v>
      </c>
      <c r="E18" s="21" t="s">
        <v>64</v>
      </c>
      <c r="F18" s="21" t="s">
        <v>162</v>
      </c>
      <c r="G18" s="21" t="s">
        <v>114</v>
      </c>
      <c r="H18" s="21" t="s">
        <v>89</v>
      </c>
      <c r="I18" s="21" t="s">
        <v>76</v>
      </c>
      <c r="J18" s="32">
        <v>391121.9</v>
      </c>
      <c r="K18" s="21" t="s">
        <v>69</v>
      </c>
      <c r="L18" s="33">
        <v>45328</v>
      </c>
      <c r="M18" s="21" t="s">
        <v>80</v>
      </c>
      <c r="N18" s="32">
        <v>2037513.89</v>
      </c>
      <c r="O18" s="21" t="s">
        <v>150</v>
      </c>
      <c r="P18" s="21" t="str">
        <f t="shared" si="0"/>
        <v>2024-02</v>
      </c>
      <c r="Q18" s="21">
        <f t="shared" si="1"/>
        <v>2024</v>
      </c>
      <c r="R18" s="34">
        <f t="shared" si="2"/>
        <v>45323</v>
      </c>
      <c r="S18" s="21">
        <f t="shared" si="3"/>
        <v>0</v>
      </c>
      <c r="T18" s="21" t="str">
        <f t="shared" si="4"/>
        <v>Card-Based</v>
      </c>
      <c r="U18" s="21" t="str">
        <f t="shared" si="5"/>
        <v>One-Time</v>
      </c>
    </row>
    <row r="19" spans="1:21" x14ac:dyDescent="0.3">
      <c r="A19" s="21" t="s">
        <v>211</v>
      </c>
      <c r="B19" s="21">
        <v>367162</v>
      </c>
      <c r="C19" s="21" t="s">
        <v>212</v>
      </c>
      <c r="D19" s="21" t="s">
        <v>213</v>
      </c>
      <c r="E19" s="21" t="s">
        <v>61</v>
      </c>
      <c r="F19" s="21" t="s">
        <v>195</v>
      </c>
      <c r="G19" s="21" t="s">
        <v>116</v>
      </c>
      <c r="H19" s="21" t="s">
        <v>88</v>
      </c>
      <c r="I19" s="21" t="s">
        <v>75</v>
      </c>
      <c r="J19" s="32">
        <v>209237.66</v>
      </c>
      <c r="K19" s="21" t="s">
        <v>72</v>
      </c>
      <c r="L19" s="33">
        <v>45452</v>
      </c>
      <c r="M19" s="21" t="s">
        <v>80</v>
      </c>
      <c r="N19" s="32">
        <v>2140324.83</v>
      </c>
      <c r="O19" s="21" t="s">
        <v>150</v>
      </c>
      <c r="P19" s="21" t="str">
        <f t="shared" si="0"/>
        <v>2024-06</v>
      </c>
      <c r="Q19" s="21">
        <f t="shared" si="1"/>
        <v>2024</v>
      </c>
      <c r="R19" s="34">
        <f t="shared" si="2"/>
        <v>45444</v>
      </c>
      <c r="S19" s="21">
        <f t="shared" si="3"/>
        <v>0</v>
      </c>
      <c r="T19" s="21" t="str">
        <f t="shared" si="4"/>
        <v>Cash-Based</v>
      </c>
      <c r="U19" s="21" t="str">
        <f t="shared" si="5"/>
        <v>One-Time</v>
      </c>
    </row>
    <row r="20" spans="1:21" x14ac:dyDescent="0.3">
      <c r="A20" s="21" t="s">
        <v>214</v>
      </c>
      <c r="B20" s="21">
        <v>107172</v>
      </c>
      <c r="C20" s="21" t="s">
        <v>215</v>
      </c>
      <c r="D20" s="21" t="s">
        <v>216</v>
      </c>
      <c r="E20" s="21" t="s">
        <v>64</v>
      </c>
      <c r="F20" s="21" t="s">
        <v>162</v>
      </c>
      <c r="G20" s="21" t="s">
        <v>114</v>
      </c>
      <c r="H20" s="21" t="s">
        <v>89</v>
      </c>
      <c r="I20" s="21" t="s">
        <v>75</v>
      </c>
      <c r="J20" s="32">
        <v>208142.17</v>
      </c>
      <c r="K20" s="21" t="s">
        <v>69</v>
      </c>
      <c r="L20" s="33">
        <v>45517</v>
      </c>
      <c r="M20" s="21" t="s">
        <v>80</v>
      </c>
      <c r="N20" s="32">
        <v>1704438.38</v>
      </c>
      <c r="O20" s="21" t="s">
        <v>150</v>
      </c>
      <c r="P20" s="21" t="str">
        <f t="shared" si="0"/>
        <v>2024-08</v>
      </c>
      <c r="Q20" s="21">
        <f t="shared" si="1"/>
        <v>2024</v>
      </c>
      <c r="R20" s="34">
        <f t="shared" si="2"/>
        <v>45505</v>
      </c>
      <c r="S20" s="21">
        <f t="shared" si="3"/>
        <v>0</v>
      </c>
      <c r="T20" s="21" t="str">
        <f t="shared" si="4"/>
        <v>Card-Based</v>
      </c>
      <c r="U20" s="21" t="str">
        <f t="shared" si="5"/>
        <v>One-Time</v>
      </c>
    </row>
    <row r="21" spans="1:21" x14ac:dyDescent="0.3">
      <c r="A21" s="21" t="s">
        <v>217</v>
      </c>
      <c r="B21" s="21">
        <v>792128</v>
      </c>
      <c r="C21" s="21" t="s">
        <v>218</v>
      </c>
      <c r="D21" s="21" t="s">
        <v>219</v>
      </c>
      <c r="E21" s="21" t="s">
        <v>60</v>
      </c>
      <c r="F21" s="21" t="s">
        <v>166</v>
      </c>
      <c r="G21" s="21" t="s">
        <v>107</v>
      </c>
      <c r="H21" s="21" t="s">
        <v>89</v>
      </c>
      <c r="I21" s="21" t="s">
        <v>77</v>
      </c>
      <c r="J21" s="32">
        <v>109602.66</v>
      </c>
      <c r="K21" s="21" t="s">
        <v>70</v>
      </c>
      <c r="L21" s="33">
        <v>45614</v>
      </c>
      <c r="M21" s="21" t="s">
        <v>80</v>
      </c>
      <c r="N21" s="32">
        <v>1407474.11</v>
      </c>
      <c r="O21" s="21" t="s">
        <v>150</v>
      </c>
      <c r="P21" s="21" t="str">
        <f t="shared" si="0"/>
        <v>2024-11</v>
      </c>
      <c r="Q21" s="21">
        <f t="shared" si="1"/>
        <v>2024</v>
      </c>
      <c r="R21" s="34">
        <f t="shared" si="2"/>
        <v>45597</v>
      </c>
      <c r="S21" s="21">
        <f t="shared" si="3"/>
        <v>0</v>
      </c>
      <c r="T21" s="21" t="str">
        <f t="shared" si="4"/>
        <v>Card-Based</v>
      </c>
      <c r="U21" s="21" t="str">
        <f t="shared" si="5"/>
        <v>One-Time</v>
      </c>
    </row>
    <row r="22" spans="1:21" x14ac:dyDescent="0.3">
      <c r="A22" s="21" t="s">
        <v>220</v>
      </c>
      <c r="B22" s="21">
        <v>901380</v>
      </c>
      <c r="C22" s="21" t="s">
        <v>221</v>
      </c>
      <c r="D22" s="21" t="s">
        <v>222</v>
      </c>
      <c r="E22" s="21" t="s">
        <v>63</v>
      </c>
      <c r="F22" s="21" t="s">
        <v>223</v>
      </c>
      <c r="G22" s="21" t="s">
        <v>129</v>
      </c>
      <c r="H22" s="21" t="s">
        <v>88</v>
      </c>
      <c r="I22" s="21" t="s">
        <v>77</v>
      </c>
      <c r="J22" s="32">
        <v>88517.73</v>
      </c>
      <c r="K22" s="21" t="s">
        <v>72</v>
      </c>
      <c r="L22" s="33">
        <v>45695</v>
      </c>
      <c r="M22" s="21" t="s">
        <v>80</v>
      </c>
      <c r="N22" s="32">
        <v>473505.78</v>
      </c>
      <c r="O22" s="21" t="s">
        <v>150</v>
      </c>
      <c r="P22" s="21" t="str">
        <f t="shared" si="0"/>
        <v>2025-02</v>
      </c>
      <c r="Q22" s="21">
        <f t="shared" si="1"/>
        <v>2025</v>
      </c>
      <c r="R22" s="34">
        <f t="shared" si="2"/>
        <v>45689</v>
      </c>
      <c r="S22" s="21">
        <f t="shared" si="3"/>
        <v>0</v>
      </c>
      <c r="T22" s="21" t="str">
        <f t="shared" si="4"/>
        <v>Cash-Based</v>
      </c>
      <c r="U22" s="21" t="str">
        <f t="shared" si="5"/>
        <v>One-Time</v>
      </c>
    </row>
    <row r="23" spans="1:21" x14ac:dyDescent="0.3">
      <c r="A23" s="21" t="s">
        <v>224</v>
      </c>
      <c r="B23" s="21">
        <v>877399</v>
      </c>
      <c r="C23" s="21" t="s">
        <v>225</v>
      </c>
      <c r="D23" s="21" t="s">
        <v>226</v>
      </c>
      <c r="E23" s="21" t="s">
        <v>63</v>
      </c>
      <c r="F23" s="21" t="s">
        <v>227</v>
      </c>
      <c r="G23" s="21" t="s">
        <v>118</v>
      </c>
      <c r="H23" s="21" t="s">
        <v>88</v>
      </c>
      <c r="I23" s="21" t="s">
        <v>76</v>
      </c>
      <c r="J23" s="32">
        <v>415314.39</v>
      </c>
      <c r="K23" s="21" t="s">
        <v>72</v>
      </c>
      <c r="L23" s="33">
        <v>45725</v>
      </c>
      <c r="M23" s="21" t="s">
        <v>80</v>
      </c>
      <c r="N23" s="32">
        <v>1834945.27</v>
      </c>
      <c r="O23" s="21" t="s">
        <v>150</v>
      </c>
      <c r="P23" s="21" t="str">
        <f t="shared" si="0"/>
        <v>2025-03</v>
      </c>
      <c r="Q23" s="21">
        <f t="shared" si="1"/>
        <v>2025</v>
      </c>
      <c r="R23" s="34">
        <f t="shared" si="2"/>
        <v>45717</v>
      </c>
      <c r="S23" s="21">
        <f t="shared" si="3"/>
        <v>0</v>
      </c>
      <c r="T23" s="21" t="str">
        <f t="shared" si="4"/>
        <v>Cash-Based</v>
      </c>
      <c r="U23" s="21" t="str">
        <f t="shared" si="5"/>
        <v>One-Time</v>
      </c>
    </row>
    <row r="24" spans="1:21" x14ac:dyDescent="0.3">
      <c r="A24" s="21" t="s">
        <v>228</v>
      </c>
      <c r="B24" s="21">
        <v>268498</v>
      </c>
      <c r="C24" s="21" t="s">
        <v>229</v>
      </c>
      <c r="D24" s="21" t="s">
        <v>230</v>
      </c>
      <c r="E24" s="21" t="s">
        <v>62</v>
      </c>
      <c r="F24" s="21" t="s">
        <v>199</v>
      </c>
      <c r="G24" s="21" t="s">
        <v>120</v>
      </c>
      <c r="H24" s="21" t="s">
        <v>88</v>
      </c>
      <c r="I24" s="21" t="s">
        <v>76</v>
      </c>
      <c r="J24" s="32">
        <v>41441.83</v>
      </c>
      <c r="K24" s="21" t="s">
        <v>69</v>
      </c>
      <c r="L24" s="33">
        <v>45570</v>
      </c>
      <c r="M24" s="21" t="s">
        <v>82</v>
      </c>
      <c r="N24" s="32">
        <v>1056408.71</v>
      </c>
      <c r="O24" s="21" t="s">
        <v>150</v>
      </c>
      <c r="P24" s="21" t="str">
        <f t="shared" si="0"/>
        <v>2024-10</v>
      </c>
      <c r="Q24" s="21">
        <f t="shared" si="1"/>
        <v>2024</v>
      </c>
      <c r="R24" s="34">
        <f t="shared" si="2"/>
        <v>45566</v>
      </c>
      <c r="S24" s="21">
        <f t="shared" si="3"/>
        <v>0</v>
      </c>
      <c r="T24" s="21" t="str">
        <f t="shared" si="4"/>
        <v>Card-Based</v>
      </c>
      <c r="U24" s="21" t="str">
        <f t="shared" si="5"/>
        <v>One-Time</v>
      </c>
    </row>
    <row r="25" spans="1:21" x14ac:dyDescent="0.3">
      <c r="A25" s="21" t="s">
        <v>231</v>
      </c>
      <c r="B25" s="21">
        <v>509182</v>
      </c>
      <c r="C25" s="21" t="s">
        <v>232</v>
      </c>
      <c r="D25" s="21" t="s">
        <v>233</v>
      </c>
      <c r="E25" s="21" t="s">
        <v>62</v>
      </c>
      <c r="F25" s="21" t="s">
        <v>181</v>
      </c>
      <c r="G25" s="21" t="s">
        <v>123</v>
      </c>
      <c r="H25" s="21" t="s">
        <v>88</v>
      </c>
      <c r="I25" s="21" t="s">
        <v>76</v>
      </c>
      <c r="J25" s="32">
        <v>342882.13</v>
      </c>
      <c r="K25" s="21" t="s">
        <v>72</v>
      </c>
      <c r="L25" s="33">
        <v>45651</v>
      </c>
      <c r="M25" s="21" t="s">
        <v>80</v>
      </c>
      <c r="N25" s="32">
        <v>540147.12</v>
      </c>
      <c r="O25" s="21" t="s">
        <v>150</v>
      </c>
      <c r="P25" s="21" t="str">
        <f t="shared" si="0"/>
        <v>2024-12</v>
      </c>
      <c r="Q25" s="21">
        <f t="shared" si="1"/>
        <v>2024</v>
      </c>
      <c r="R25" s="34">
        <f t="shared" si="2"/>
        <v>45627</v>
      </c>
      <c r="S25" s="21">
        <f t="shared" si="3"/>
        <v>0</v>
      </c>
      <c r="T25" s="21" t="str">
        <f t="shared" si="4"/>
        <v>Cash-Based</v>
      </c>
      <c r="U25" s="21" t="str">
        <f t="shared" si="5"/>
        <v>One-Time</v>
      </c>
    </row>
    <row r="26" spans="1:21" x14ac:dyDescent="0.3">
      <c r="A26" s="21" t="s">
        <v>234</v>
      </c>
      <c r="B26" s="21">
        <v>298244</v>
      </c>
      <c r="C26" s="21" t="s">
        <v>235</v>
      </c>
      <c r="D26" s="21" t="s">
        <v>236</v>
      </c>
      <c r="E26" s="21" t="s">
        <v>61</v>
      </c>
      <c r="F26" s="21" t="s">
        <v>195</v>
      </c>
      <c r="G26" s="21" t="s">
        <v>116</v>
      </c>
      <c r="H26" s="21" t="s">
        <v>87</v>
      </c>
      <c r="I26" s="21" t="s">
        <v>76</v>
      </c>
      <c r="J26" s="32">
        <v>271432.19</v>
      </c>
      <c r="K26" s="21" t="s">
        <v>71</v>
      </c>
      <c r="L26" s="33">
        <v>45589</v>
      </c>
      <c r="M26" s="21" t="s">
        <v>80</v>
      </c>
      <c r="N26" s="32">
        <v>1473919.05</v>
      </c>
      <c r="O26" s="21" t="s">
        <v>150</v>
      </c>
      <c r="P26" s="21" t="str">
        <f t="shared" si="0"/>
        <v>2024-10</v>
      </c>
      <c r="Q26" s="21">
        <f t="shared" si="1"/>
        <v>2024</v>
      </c>
      <c r="R26" s="34">
        <f t="shared" si="2"/>
        <v>45566</v>
      </c>
      <c r="S26" s="21">
        <f t="shared" si="3"/>
        <v>0</v>
      </c>
      <c r="T26" s="21" t="str">
        <f t="shared" si="4"/>
        <v>Digital</v>
      </c>
      <c r="U26" s="21" t="str">
        <f t="shared" si="5"/>
        <v>One-Time</v>
      </c>
    </row>
    <row r="27" spans="1:21" x14ac:dyDescent="0.3">
      <c r="A27" s="21" t="s">
        <v>237</v>
      </c>
      <c r="B27" s="21">
        <v>564685</v>
      </c>
      <c r="C27" s="21" t="s">
        <v>238</v>
      </c>
      <c r="D27" s="21" t="s">
        <v>239</v>
      </c>
      <c r="E27" s="21" t="s">
        <v>62</v>
      </c>
      <c r="F27" s="21" t="s">
        <v>199</v>
      </c>
      <c r="G27" s="21" t="s">
        <v>120</v>
      </c>
      <c r="H27" s="21" t="s">
        <v>87</v>
      </c>
      <c r="I27" s="21" t="s">
        <v>76</v>
      </c>
      <c r="J27" s="32">
        <v>253021.62</v>
      </c>
      <c r="K27" s="21" t="s">
        <v>69</v>
      </c>
      <c r="L27" s="33">
        <v>45405</v>
      </c>
      <c r="M27" s="21" t="s">
        <v>80</v>
      </c>
      <c r="N27" s="32">
        <v>2087860.21</v>
      </c>
      <c r="O27" s="21" t="s">
        <v>150</v>
      </c>
      <c r="P27" s="21" t="str">
        <f t="shared" si="0"/>
        <v>2024-04</v>
      </c>
      <c r="Q27" s="21">
        <f t="shared" si="1"/>
        <v>2024</v>
      </c>
      <c r="R27" s="34">
        <f t="shared" si="2"/>
        <v>45383</v>
      </c>
      <c r="S27" s="21">
        <f t="shared" si="3"/>
        <v>0</v>
      </c>
      <c r="T27" s="21" t="str">
        <f t="shared" si="4"/>
        <v>Card-Based</v>
      </c>
      <c r="U27" s="21" t="str">
        <f t="shared" si="5"/>
        <v>One-Time</v>
      </c>
    </row>
    <row r="28" spans="1:21" x14ac:dyDescent="0.3">
      <c r="A28" s="21" t="s">
        <v>240</v>
      </c>
      <c r="B28" s="21">
        <v>772989</v>
      </c>
      <c r="C28" s="21" t="s">
        <v>241</v>
      </c>
      <c r="D28" s="21" t="s">
        <v>242</v>
      </c>
      <c r="E28" s="21" t="s">
        <v>60</v>
      </c>
      <c r="F28" s="21" t="s">
        <v>203</v>
      </c>
      <c r="G28" s="21" t="s">
        <v>128</v>
      </c>
      <c r="H28" s="21" t="s">
        <v>87</v>
      </c>
      <c r="I28" s="21" t="s">
        <v>77</v>
      </c>
      <c r="J28" s="32">
        <v>20332.900000000001</v>
      </c>
      <c r="K28" s="21" t="s">
        <v>69</v>
      </c>
      <c r="L28" s="33">
        <v>45503</v>
      </c>
      <c r="M28" s="21" t="s">
        <v>80</v>
      </c>
      <c r="N28" s="32">
        <v>343435.64</v>
      </c>
      <c r="O28" s="21" t="s">
        <v>150</v>
      </c>
      <c r="P28" s="21" t="str">
        <f t="shared" si="0"/>
        <v>2024-07</v>
      </c>
      <c r="Q28" s="21">
        <f t="shared" si="1"/>
        <v>2024</v>
      </c>
      <c r="R28" s="34">
        <f t="shared" si="2"/>
        <v>45474</v>
      </c>
      <c r="S28" s="21">
        <f t="shared" si="3"/>
        <v>0</v>
      </c>
      <c r="T28" s="21" t="str">
        <f t="shared" si="4"/>
        <v>Card-Based</v>
      </c>
      <c r="U28" s="21" t="str">
        <f t="shared" si="5"/>
        <v>One-Time</v>
      </c>
    </row>
    <row r="29" spans="1:21" x14ac:dyDescent="0.3">
      <c r="A29" s="21" t="s">
        <v>243</v>
      </c>
      <c r="B29" s="21">
        <v>516447</v>
      </c>
      <c r="C29" s="21" t="s">
        <v>244</v>
      </c>
      <c r="D29" s="21" t="s">
        <v>245</v>
      </c>
      <c r="E29" s="21" t="s">
        <v>61</v>
      </c>
      <c r="F29" s="21" t="s">
        <v>154</v>
      </c>
      <c r="G29" s="21" t="s">
        <v>122</v>
      </c>
      <c r="H29" s="21" t="s">
        <v>87</v>
      </c>
      <c r="I29" s="21" t="s">
        <v>77</v>
      </c>
      <c r="J29" s="32">
        <v>108072.78</v>
      </c>
      <c r="K29" s="21" t="s">
        <v>68</v>
      </c>
      <c r="L29" s="33">
        <v>45450</v>
      </c>
      <c r="M29" s="21" t="s">
        <v>81</v>
      </c>
      <c r="N29" s="32">
        <v>1433209.47</v>
      </c>
      <c r="O29" s="21" t="s">
        <v>150</v>
      </c>
      <c r="P29" s="21" t="str">
        <f t="shared" si="0"/>
        <v>2024-06</v>
      </c>
      <c r="Q29" s="21">
        <f t="shared" si="1"/>
        <v>2024</v>
      </c>
      <c r="R29" s="34">
        <f t="shared" si="2"/>
        <v>45444</v>
      </c>
      <c r="S29" s="21">
        <f t="shared" si="3"/>
        <v>0</v>
      </c>
      <c r="T29" s="21" t="str">
        <f t="shared" si="4"/>
        <v>Digital</v>
      </c>
      <c r="U29" s="21" t="str">
        <f t="shared" si="5"/>
        <v>One-Time</v>
      </c>
    </row>
    <row r="30" spans="1:21" x14ac:dyDescent="0.3">
      <c r="A30" s="21" t="s">
        <v>246</v>
      </c>
      <c r="B30" s="21">
        <v>171990</v>
      </c>
      <c r="C30" s="21" t="s">
        <v>247</v>
      </c>
      <c r="D30" s="21" t="s">
        <v>248</v>
      </c>
      <c r="E30" s="21" t="s">
        <v>60</v>
      </c>
      <c r="F30" s="21" t="s">
        <v>203</v>
      </c>
      <c r="G30" s="21" t="s">
        <v>128</v>
      </c>
      <c r="H30" s="21" t="s">
        <v>87</v>
      </c>
      <c r="I30" s="21" t="s">
        <v>75</v>
      </c>
      <c r="J30" s="32">
        <v>248672.35</v>
      </c>
      <c r="K30" s="21" t="s">
        <v>71</v>
      </c>
      <c r="L30" s="33">
        <v>45156</v>
      </c>
      <c r="M30" s="21" t="s">
        <v>80</v>
      </c>
      <c r="N30" s="32">
        <v>838290.04</v>
      </c>
      <c r="O30" s="21" t="s">
        <v>150</v>
      </c>
      <c r="P30" s="21" t="str">
        <f t="shared" si="0"/>
        <v>2023-08</v>
      </c>
      <c r="Q30" s="21">
        <f t="shared" si="1"/>
        <v>2023</v>
      </c>
      <c r="R30" s="34">
        <f t="shared" si="2"/>
        <v>45139</v>
      </c>
      <c r="S30" s="21">
        <f t="shared" si="3"/>
        <v>0</v>
      </c>
      <c r="T30" s="21" t="str">
        <f t="shared" si="4"/>
        <v>Digital</v>
      </c>
      <c r="U30" s="21" t="str">
        <f t="shared" si="5"/>
        <v>One-Time</v>
      </c>
    </row>
    <row r="31" spans="1:21" x14ac:dyDescent="0.3">
      <c r="A31" s="21" t="s">
        <v>249</v>
      </c>
      <c r="B31" s="21">
        <v>217181</v>
      </c>
      <c r="C31" s="21" t="s">
        <v>250</v>
      </c>
      <c r="D31" s="21" t="s">
        <v>251</v>
      </c>
      <c r="E31" s="21" t="s">
        <v>63</v>
      </c>
      <c r="F31" s="21" t="s">
        <v>227</v>
      </c>
      <c r="G31" s="21" t="s">
        <v>118</v>
      </c>
      <c r="H31" s="21" t="s">
        <v>88</v>
      </c>
      <c r="I31" s="21" t="s">
        <v>77</v>
      </c>
      <c r="J31" s="32">
        <v>29516.09</v>
      </c>
      <c r="K31" s="21" t="s">
        <v>72</v>
      </c>
      <c r="L31" s="33">
        <v>45217</v>
      </c>
      <c r="M31" s="21" t="s">
        <v>80</v>
      </c>
      <c r="N31" s="32">
        <v>1870328.71</v>
      </c>
      <c r="O31" s="21" t="s">
        <v>150</v>
      </c>
      <c r="P31" s="21" t="str">
        <f t="shared" si="0"/>
        <v>2023-10</v>
      </c>
      <c r="Q31" s="21">
        <f t="shared" si="1"/>
        <v>2023</v>
      </c>
      <c r="R31" s="34">
        <f t="shared" si="2"/>
        <v>45200</v>
      </c>
      <c r="S31" s="21">
        <f t="shared" si="3"/>
        <v>0</v>
      </c>
      <c r="T31" s="21" t="str">
        <f t="shared" si="4"/>
        <v>Cash-Based</v>
      </c>
      <c r="U31" s="21" t="str">
        <f t="shared" si="5"/>
        <v>One-Time</v>
      </c>
    </row>
    <row r="32" spans="1:21" x14ac:dyDescent="0.3">
      <c r="A32" s="21" t="s">
        <v>252</v>
      </c>
      <c r="B32" s="21">
        <v>853995</v>
      </c>
      <c r="C32" s="21" t="s">
        <v>253</v>
      </c>
      <c r="D32" s="21" t="s">
        <v>254</v>
      </c>
      <c r="E32" s="21" t="s">
        <v>63</v>
      </c>
      <c r="F32" s="21" t="s">
        <v>255</v>
      </c>
      <c r="G32" s="21" t="s">
        <v>115</v>
      </c>
      <c r="H32" s="21" t="s">
        <v>87</v>
      </c>
      <c r="I32" s="21" t="s">
        <v>78</v>
      </c>
      <c r="J32" s="32">
        <v>285994.06</v>
      </c>
      <c r="K32" s="21" t="s">
        <v>71</v>
      </c>
      <c r="L32" s="33">
        <v>45429</v>
      </c>
      <c r="M32" s="21" t="s">
        <v>80</v>
      </c>
      <c r="N32" s="32">
        <v>2159844.0099999998</v>
      </c>
      <c r="O32" s="21" t="s">
        <v>150</v>
      </c>
      <c r="P32" s="21" t="str">
        <f t="shared" si="0"/>
        <v>2024-05</v>
      </c>
      <c r="Q32" s="21">
        <f t="shared" si="1"/>
        <v>2024</v>
      </c>
      <c r="R32" s="34">
        <f t="shared" si="2"/>
        <v>45413</v>
      </c>
      <c r="S32" s="21">
        <f t="shared" si="3"/>
        <v>0</v>
      </c>
      <c r="T32" s="21" t="str">
        <f t="shared" si="4"/>
        <v>Digital</v>
      </c>
      <c r="U32" s="21" t="str">
        <f t="shared" si="5"/>
        <v>One-Time</v>
      </c>
    </row>
    <row r="33" spans="1:21" x14ac:dyDescent="0.3">
      <c r="A33" s="21" t="s">
        <v>256</v>
      </c>
      <c r="B33" s="21">
        <v>433879</v>
      </c>
      <c r="C33" s="21" t="s">
        <v>257</v>
      </c>
      <c r="D33" s="21" t="s">
        <v>258</v>
      </c>
      <c r="E33" s="21" t="s">
        <v>63</v>
      </c>
      <c r="F33" s="21" t="s">
        <v>207</v>
      </c>
      <c r="G33" s="21" t="s">
        <v>127</v>
      </c>
      <c r="H33" s="21" t="s">
        <v>86</v>
      </c>
      <c r="I33" s="21" t="s">
        <v>78</v>
      </c>
      <c r="J33" s="32">
        <v>374242.97</v>
      </c>
      <c r="K33" s="21" t="s">
        <v>71</v>
      </c>
      <c r="L33" s="33">
        <v>45128</v>
      </c>
      <c r="M33" s="21" t="s">
        <v>80</v>
      </c>
      <c r="N33" s="32">
        <v>1965672.23</v>
      </c>
      <c r="O33" s="21" t="s">
        <v>150</v>
      </c>
      <c r="P33" s="21" t="str">
        <f t="shared" si="0"/>
        <v>2023-07</v>
      </c>
      <c r="Q33" s="21">
        <f t="shared" si="1"/>
        <v>2023</v>
      </c>
      <c r="R33" s="34">
        <f t="shared" si="2"/>
        <v>45108</v>
      </c>
      <c r="S33" s="21">
        <f t="shared" si="3"/>
        <v>0</v>
      </c>
      <c r="T33" s="21" t="str">
        <f t="shared" si="4"/>
        <v>Digital</v>
      </c>
      <c r="U33" s="21" t="str">
        <f t="shared" si="5"/>
        <v>One-Time</v>
      </c>
    </row>
    <row r="34" spans="1:21" x14ac:dyDescent="0.3">
      <c r="A34" s="21" t="s">
        <v>259</v>
      </c>
      <c r="B34" s="21">
        <v>651973</v>
      </c>
      <c r="C34" s="21" t="s">
        <v>260</v>
      </c>
      <c r="D34" s="21" t="s">
        <v>261</v>
      </c>
      <c r="E34" s="21" t="s">
        <v>64</v>
      </c>
      <c r="F34" s="21" t="s">
        <v>262</v>
      </c>
      <c r="G34" s="21" t="s">
        <v>131</v>
      </c>
      <c r="H34" s="21" t="s">
        <v>89</v>
      </c>
      <c r="I34" s="21" t="s">
        <v>78</v>
      </c>
      <c r="J34" s="32">
        <v>148852.68</v>
      </c>
      <c r="K34" s="21" t="s">
        <v>71</v>
      </c>
      <c r="L34" s="33">
        <v>45796</v>
      </c>
      <c r="M34" s="21" t="s">
        <v>80</v>
      </c>
      <c r="N34" s="32">
        <v>1180170.71</v>
      </c>
      <c r="O34" s="21" t="s">
        <v>150</v>
      </c>
      <c r="P34" s="21" t="str">
        <f t="shared" si="0"/>
        <v>2025-05</v>
      </c>
      <c r="Q34" s="21">
        <f t="shared" si="1"/>
        <v>2025</v>
      </c>
      <c r="R34" s="34">
        <f t="shared" si="2"/>
        <v>45778</v>
      </c>
      <c r="S34" s="21">
        <f t="shared" si="3"/>
        <v>0</v>
      </c>
      <c r="T34" s="21" t="str">
        <f t="shared" si="4"/>
        <v>Digital</v>
      </c>
      <c r="U34" s="21" t="str">
        <f t="shared" si="5"/>
        <v>One-Time</v>
      </c>
    </row>
    <row r="35" spans="1:21" x14ac:dyDescent="0.3">
      <c r="A35" s="21" t="s">
        <v>263</v>
      </c>
      <c r="B35" s="21">
        <v>743304</v>
      </c>
      <c r="C35" s="21" t="s">
        <v>264</v>
      </c>
      <c r="D35" s="21" t="s">
        <v>265</v>
      </c>
      <c r="E35" s="21" t="s">
        <v>62</v>
      </c>
      <c r="F35" s="21" t="s">
        <v>181</v>
      </c>
      <c r="G35" s="21" t="s">
        <v>123</v>
      </c>
      <c r="H35" s="21" t="s">
        <v>87</v>
      </c>
      <c r="I35" s="21" t="s">
        <v>76</v>
      </c>
      <c r="J35" s="32">
        <v>101567.88</v>
      </c>
      <c r="K35" s="21" t="s">
        <v>69</v>
      </c>
      <c r="L35" s="33">
        <v>45746</v>
      </c>
      <c r="M35" s="21" t="s">
        <v>80</v>
      </c>
      <c r="N35" s="32">
        <v>199853.73</v>
      </c>
      <c r="O35" s="21" t="s">
        <v>150</v>
      </c>
      <c r="P35" s="21" t="str">
        <f t="shared" si="0"/>
        <v>2025-03</v>
      </c>
      <c r="Q35" s="21">
        <f t="shared" si="1"/>
        <v>2025</v>
      </c>
      <c r="R35" s="34">
        <f t="shared" si="2"/>
        <v>45717</v>
      </c>
      <c r="S35" s="21">
        <f t="shared" si="3"/>
        <v>0</v>
      </c>
      <c r="T35" s="21" t="str">
        <f t="shared" si="4"/>
        <v>Card-Based</v>
      </c>
      <c r="U35" s="21" t="str">
        <f t="shared" si="5"/>
        <v>One-Time</v>
      </c>
    </row>
    <row r="36" spans="1:21" x14ac:dyDescent="0.3">
      <c r="A36" s="21" t="s">
        <v>266</v>
      </c>
      <c r="B36" s="21">
        <v>433578</v>
      </c>
      <c r="C36" s="21" t="s">
        <v>267</v>
      </c>
      <c r="D36" s="21" t="s">
        <v>268</v>
      </c>
      <c r="E36" s="21" t="s">
        <v>60</v>
      </c>
      <c r="F36" s="21" t="s">
        <v>149</v>
      </c>
      <c r="G36" s="21" t="s">
        <v>119</v>
      </c>
      <c r="H36" s="21" t="s">
        <v>88</v>
      </c>
      <c r="I36" s="21" t="s">
        <v>75</v>
      </c>
      <c r="J36" s="32">
        <v>229408.77</v>
      </c>
      <c r="K36" s="21" t="s">
        <v>68</v>
      </c>
      <c r="L36" s="33">
        <v>45706</v>
      </c>
      <c r="M36" s="21" t="s">
        <v>80</v>
      </c>
      <c r="N36" s="32">
        <v>777778</v>
      </c>
      <c r="O36" s="21" t="s">
        <v>150</v>
      </c>
      <c r="P36" s="21" t="str">
        <f t="shared" si="0"/>
        <v>2025-02</v>
      </c>
      <c r="Q36" s="21">
        <f t="shared" si="1"/>
        <v>2025</v>
      </c>
      <c r="R36" s="34">
        <f t="shared" si="2"/>
        <v>45689</v>
      </c>
      <c r="S36" s="21">
        <f t="shared" si="3"/>
        <v>0</v>
      </c>
      <c r="T36" s="21" t="str">
        <f t="shared" si="4"/>
        <v>Digital</v>
      </c>
      <c r="U36" s="21" t="str">
        <f t="shared" si="5"/>
        <v>One-Time</v>
      </c>
    </row>
    <row r="37" spans="1:21" x14ac:dyDescent="0.3">
      <c r="A37" s="21" t="s">
        <v>269</v>
      </c>
      <c r="B37" s="21">
        <v>335618</v>
      </c>
      <c r="C37" s="21" t="s">
        <v>270</v>
      </c>
      <c r="D37" s="21" t="s">
        <v>271</v>
      </c>
      <c r="E37" s="21" t="s">
        <v>63</v>
      </c>
      <c r="F37" s="21" t="s">
        <v>223</v>
      </c>
      <c r="G37" s="21" t="s">
        <v>129</v>
      </c>
      <c r="H37" s="21" t="s">
        <v>87</v>
      </c>
      <c r="I37" s="21" t="s">
        <v>78</v>
      </c>
      <c r="J37" s="32">
        <v>66704.02</v>
      </c>
      <c r="K37" s="21" t="s">
        <v>70</v>
      </c>
      <c r="L37" s="33">
        <v>45241</v>
      </c>
      <c r="M37" s="21" t="s">
        <v>80</v>
      </c>
      <c r="N37" s="32">
        <v>183649.06</v>
      </c>
      <c r="O37" s="21" t="s">
        <v>150</v>
      </c>
      <c r="P37" s="21" t="str">
        <f t="shared" si="0"/>
        <v>2023-11</v>
      </c>
      <c r="Q37" s="21">
        <f t="shared" si="1"/>
        <v>2023</v>
      </c>
      <c r="R37" s="34">
        <f t="shared" si="2"/>
        <v>45231</v>
      </c>
      <c r="S37" s="21">
        <f t="shared" si="3"/>
        <v>0</v>
      </c>
      <c r="T37" s="21" t="str">
        <f t="shared" si="4"/>
        <v>Card-Based</v>
      </c>
      <c r="U37" s="21" t="str">
        <f t="shared" si="5"/>
        <v>One-Time</v>
      </c>
    </row>
    <row r="38" spans="1:21" x14ac:dyDescent="0.3">
      <c r="A38" s="21" t="s">
        <v>272</v>
      </c>
      <c r="B38" s="21">
        <v>134765</v>
      </c>
      <c r="C38" s="21" t="s">
        <v>273</v>
      </c>
      <c r="D38" s="21" t="s">
        <v>274</v>
      </c>
      <c r="E38" s="21" t="s">
        <v>62</v>
      </c>
      <c r="F38" s="21" t="s">
        <v>275</v>
      </c>
      <c r="G38" s="21" t="s">
        <v>109</v>
      </c>
      <c r="H38" s="21" t="s">
        <v>87</v>
      </c>
      <c r="I38" s="21" t="s">
        <v>75</v>
      </c>
      <c r="J38" s="32">
        <v>36992.14</v>
      </c>
      <c r="K38" s="21" t="s">
        <v>69</v>
      </c>
      <c r="L38" s="33">
        <v>45588</v>
      </c>
      <c r="M38" s="21" t="s">
        <v>80</v>
      </c>
      <c r="N38" s="32">
        <v>1678066.58</v>
      </c>
      <c r="O38" s="21" t="s">
        <v>150</v>
      </c>
      <c r="P38" s="21" t="str">
        <f t="shared" si="0"/>
        <v>2024-10</v>
      </c>
      <c r="Q38" s="21">
        <f t="shared" si="1"/>
        <v>2024</v>
      </c>
      <c r="R38" s="34">
        <f t="shared" si="2"/>
        <v>45566</v>
      </c>
      <c r="S38" s="21">
        <f t="shared" si="3"/>
        <v>0</v>
      </c>
      <c r="T38" s="21" t="str">
        <f t="shared" si="4"/>
        <v>Card-Based</v>
      </c>
      <c r="U38" s="21" t="str">
        <f t="shared" si="5"/>
        <v>One-Time</v>
      </c>
    </row>
    <row r="39" spans="1:21" x14ac:dyDescent="0.3">
      <c r="A39" s="21" t="s">
        <v>276</v>
      </c>
      <c r="B39" s="21">
        <v>837453</v>
      </c>
      <c r="C39" s="21" t="s">
        <v>277</v>
      </c>
      <c r="D39" s="21" t="s">
        <v>278</v>
      </c>
      <c r="E39" s="21" t="s">
        <v>61</v>
      </c>
      <c r="F39" s="21" t="s">
        <v>279</v>
      </c>
      <c r="G39" s="21" t="s">
        <v>125</v>
      </c>
      <c r="H39" s="21" t="s">
        <v>88</v>
      </c>
      <c r="I39" s="21" t="s">
        <v>76</v>
      </c>
      <c r="J39" s="32">
        <v>122297.94</v>
      </c>
      <c r="K39" s="21" t="s">
        <v>72</v>
      </c>
      <c r="L39" s="33">
        <v>45336</v>
      </c>
      <c r="M39" s="21" t="s">
        <v>80</v>
      </c>
      <c r="N39" s="32">
        <v>351667.74</v>
      </c>
      <c r="O39" s="21" t="s">
        <v>150</v>
      </c>
      <c r="P39" s="21" t="str">
        <f t="shared" si="0"/>
        <v>2024-02</v>
      </c>
      <c r="Q39" s="21">
        <f t="shared" si="1"/>
        <v>2024</v>
      </c>
      <c r="R39" s="34">
        <f t="shared" si="2"/>
        <v>45323</v>
      </c>
      <c r="S39" s="21">
        <f t="shared" si="3"/>
        <v>0</v>
      </c>
      <c r="T39" s="21" t="str">
        <f t="shared" si="4"/>
        <v>Cash-Based</v>
      </c>
      <c r="U39" s="21" t="str">
        <f t="shared" si="5"/>
        <v>One-Time</v>
      </c>
    </row>
    <row r="40" spans="1:21" x14ac:dyDescent="0.3">
      <c r="A40" s="21" t="s">
        <v>280</v>
      </c>
      <c r="B40" s="21">
        <v>212429</v>
      </c>
      <c r="C40" s="21" t="s">
        <v>281</v>
      </c>
      <c r="D40" s="21" t="s">
        <v>282</v>
      </c>
      <c r="E40" s="21" t="s">
        <v>63</v>
      </c>
      <c r="F40" s="21" t="s">
        <v>207</v>
      </c>
      <c r="G40" s="21" t="s">
        <v>127</v>
      </c>
      <c r="H40" s="21" t="s">
        <v>88</v>
      </c>
      <c r="I40" s="21" t="s">
        <v>75</v>
      </c>
      <c r="J40" s="32">
        <v>270490.09999999998</v>
      </c>
      <c r="K40" s="21" t="s">
        <v>71</v>
      </c>
      <c r="L40" s="33">
        <v>45566</v>
      </c>
      <c r="M40" s="21" t="s">
        <v>80</v>
      </c>
      <c r="N40" s="32">
        <v>1171836.49</v>
      </c>
      <c r="O40" s="21" t="s">
        <v>150</v>
      </c>
      <c r="P40" s="21" t="str">
        <f t="shared" si="0"/>
        <v>2024-10</v>
      </c>
      <c r="Q40" s="21">
        <f t="shared" si="1"/>
        <v>2024</v>
      </c>
      <c r="R40" s="34">
        <f t="shared" si="2"/>
        <v>45566</v>
      </c>
      <c r="S40" s="21">
        <f t="shared" si="3"/>
        <v>0</v>
      </c>
      <c r="T40" s="21" t="str">
        <f t="shared" si="4"/>
        <v>Digital</v>
      </c>
      <c r="U40" s="21" t="str">
        <f t="shared" si="5"/>
        <v>One-Time</v>
      </c>
    </row>
    <row r="41" spans="1:21" x14ac:dyDescent="0.3">
      <c r="A41" s="21" t="s">
        <v>283</v>
      </c>
      <c r="B41" s="21">
        <v>652501</v>
      </c>
      <c r="C41" s="21" t="s">
        <v>284</v>
      </c>
      <c r="D41" s="21" t="s">
        <v>285</v>
      </c>
      <c r="E41" s="21" t="s">
        <v>60</v>
      </c>
      <c r="F41" s="21" t="s">
        <v>286</v>
      </c>
      <c r="G41" s="21" t="s">
        <v>124</v>
      </c>
      <c r="H41" s="21" t="s">
        <v>87</v>
      </c>
      <c r="I41" s="21" t="s">
        <v>78</v>
      </c>
      <c r="J41" s="32">
        <v>51847.92</v>
      </c>
      <c r="K41" s="21" t="s">
        <v>68</v>
      </c>
      <c r="L41" s="33">
        <v>45548</v>
      </c>
      <c r="M41" s="21" t="s">
        <v>80</v>
      </c>
      <c r="N41" s="32">
        <v>930650.27</v>
      </c>
      <c r="O41" s="21" t="s">
        <v>150</v>
      </c>
      <c r="P41" s="21" t="str">
        <f t="shared" si="0"/>
        <v>2024-09</v>
      </c>
      <c r="Q41" s="21">
        <f t="shared" si="1"/>
        <v>2024</v>
      </c>
      <c r="R41" s="34">
        <f t="shared" si="2"/>
        <v>45536</v>
      </c>
      <c r="S41" s="21">
        <f t="shared" si="3"/>
        <v>0</v>
      </c>
      <c r="T41" s="21" t="str">
        <f t="shared" si="4"/>
        <v>Digital</v>
      </c>
      <c r="U41" s="21" t="str">
        <f t="shared" si="5"/>
        <v>One-Time</v>
      </c>
    </row>
    <row r="42" spans="1:21" x14ac:dyDescent="0.3">
      <c r="A42" s="21" t="s">
        <v>287</v>
      </c>
      <c r="B42" s="21">
        <v>223517</v>
      </c>
      <c r="C42" s="21" t="s">
        <v>288</v>
      </c>
      <c r="D42" s="21" t="s">
        <v>289</v>
      </c>
      <c r="E42" s="21" t="s">
        <v>63</v>
      </c>
      <c r="F42" s="21" t="s">
        <v>207</v>
      </c>
      <c r="G42" s="21" t="s">
        <v>127</v>
      </c>
      <c r="H42" s="21" t="s">
        <v>87</v>
      </c>
      <c r="I42" s="21" t="s">
        <v>75</v>
      </c>
      <c r="J42" s="32">
        <v>134957.76999999999</v>
      </c>
      <c r="K42" s="21" t="s">
        <v>71</v>
      </c>
      <c r="L42" s="33">
        <v>45198</v>
      </c>
      <c r="M42" s="21" t="s">
        <v>80</v>
      </c>
      <c r="N42" s="32">
        <v>604057.52</v>
      </c>
      <c r="O42" s="21" t="s">
        <v>150</v>
      </c>
      <c r="P42" s="21" t="str">
        <f t="shared" si="0"/>
        <v>2023-09</v>
      </c>
      <c r="Q42" s="21">
        <f t="shared" si="1"/>
        <v>2023</v>
      </c>
      <c r="R42" s="34">
        <f t="shared" si="2"/>
        <v>45170</v>
      </c>
      <c r="S42" s="21">
        <f t="shared" si="3"/>
        <v>0</v>
      </c>
      <c r="T42" s="21" t="str">
        <f t="shared" si="4"/>
        <v>Digital</v>
      </c>
      <c r="U42" s="21" t="str">
        <f t="shared" si="5"/>
        <v>One-Time</v>
      </c>
    </row>
    <row r="43" spans="1:21" x14ac:dyDescent="0.3">
      <c r="A43" s="21" t="s">
        <v>290</v>
      </c>
      <c r="B43" s="21">
        <v>875642</v>
      </c>
      <c r="C43" s="21" t="s">
        <v>291</v>
      </c>
      <c r="D43" s="21" t="s">
        <v>292</v>
      </c>
      <c r="E43" s="21" t="s">
        <v>63</v>
      </c>
      <c r="F43" s="21" t="s">
        <v>293</v>
      </c>
      <c r="G43" s="21" t="s">
        <v>126</v>
      </c>
      <c r="H43" s="21" t="s">
        <v>89</v>
      </c>
      <c r="I43" s="21" t="s">
        <v>77</v>
      </c>
      <c r="J43" s="32">
        <v>58285.919999999998</v>
      </c>
      <c r="K43" s="21" t="s">
        <v>69</v>
      </c>
      <c r="L43" s="33">
        <v>45269</v>
      </c>
      <c r="M43" s="21" t="s">
        <v>80</v>
      </c>
      <c r="N43" s="32">
        <v>1596795</v>
      </c>
      <c r="O43" s="21" t="s">
        <v>150</v>
      </c>
      <c r="P43" s="21" t="str">
        <f t="shared" si="0"/>
        <v>2023-12</v>
      </c>
      <c r="Q43" s="21">
        <f t="shared" si="1"/>
        <v>2023</v>
      </c>
      <c r="R43" s="34">
        <f t="shared" si="2"/>
        <v>45261</v>
      </c>
      <c r="S43" s="21">
        <f t="shared" si="3"/>
        <v>0</v>
      </c>
      <c r="T43" s="21" t="str">
        <f t="shared" si="4"/>
        <v>Card-Based</v>
      </c>
      <c r="U43" s="21" t="str">
        <f t="shared" si="5"/>
        <v>One-Time</v>
      </c>
    </row>
    <row r="44" spans="1:21" x14ac:dyDescent="0.3">
      <c r="A44" s="21" t="s">
        <v>294</v>
      </c>
      <c r="B44" s="21">
        <v>634610</v>
      </c>
      <c r="C44" s="21" t="s">
        <v>295</v>
      </c>
      <c r="D44" s="21" t="s">
        <v>296</v>
      </c>
      <c r="E44" s="21" t="s">
        <v>62</v>
      </c>
      <c r="F44" s="21" t="s">
        <v>297</v>
      </c>
      <c r="G44" s="21" t="s">
        <v>111</v>
      </c>
      <c r="H44" s="21" t="s">
        <v>87</v>
      </c>
      <c r="I44" s="21" t="s">
        <v>77</v>
      </c>
      <c r="J44" s="32">
        <v>143215.06</v>
      </c>
      <c r="K44" s="21" t="s">
        <v>68</v>
      </c>
      <c r="L44" s="33">
        <v>45488</v>
      </c>
      <c r="M44" s="21" t="s">
        <v>83</v>
      </c>
      <c r="N44" s="32">
        <v>1345360.8</v>
      </c>
      <c r="O44" s="21" t="s">
        <v>150</v>
      </c>
      <c r="P44" s="21" t="str">
        <f t="shared" si="0"/>
        <v>2024-07</v>
      </c>
      <c r="Q44" s="21">
        <f t="shared" si="1"/>
        <v>2024</v>
      </c>
      <c r="R44" s="34">
        <f t="shared" si="2"/>
        <v>45474</v>
      </c>
      <c r="S44" s="21">
        <f t="shared" si="3"/>
        <v>0</v>
      </c>
      <c r="T44" s="21" t="str">
        <f t="shared" si="4"/>
        <v>Digital</v>
      </c>
      <c r="U44" s="21" t="str">
        <f t="shared" si="5"/>
        <v>One-Time</v>
      </c>
    </row>
    <row r="45" spans="1:21" x14ac:dyDescent="0.3">
      <c r="A45" s="21" t="s">
        <v>298</v>
      </c>
      <c r="B45" s="21">
        <v>378722</v>
      </c>
      <c r="C45" s="21" t="s">
        <v>299</v>
      </c>
      <c r="D45" s="21" t="s">
        <v>300</v>
      </c>
      <c r="E45" s="21" t="s">
        <v>64</v>
      </c>
      <c r="F45" s="21" t="s">
        <v>158</v>
      </c>
      <c r="G45" s="21" t="s">
        <v>108</v>
      </c>
      <c r="H45" s="21" t="s">
        <v>86</v>
      </c>
      <c r="I45" s="21" t="s">
        <v>77</v>
      </c>
      <c r="J45" s="32">
        <v>53733.54</v>
      </c>
      <c r="K45" s="21" t="s">
        <v>69</v>
      </c>
      <c r="L45" s="33">
        <v>45438</v>
      </c>
      <c r="M45" s="21" t="s">
        <v>80</v>
      </c>
      <c r="N45" s="32">
        <v>52500.33</v>
      </c>
      <c r="O45" s="21" t="s">
        <v>150</v>
      </c>
      <c r="P45" s="21" t="str">
        <f t="shared" si="0"/>
        <v>2024-05</v>
      </c>
      <c r="Q45" s="21">
        <f t="shared" si="1"/>
        <v>2024</v>
      </c>
      <c r="R45" s="34">
        <f t="shared" si="2"/>
        <v>45413</v>
      </c>
      <c r="S45" s="21">
        <f t="shared" si="3"/>
        <v>0</v>
      </c>
      <c r="T45" s="21" t="str">
        <f t="shared" si="4"/>
        <v>Card-Based</v>
      </c>
      <c r="U45" s="21" t="str">
        <f t="shared" si="5"/>
        <v>One-Time</v>
      </c>
    </row>
    <row r="46" spans="1:21" x14ac:dyDescent="0.3">
      <c r="A46" s="21" t="s">
        <v>301</v>
      </c>
      <c r="B46" s="21">
        <v>870934</v>
      </c>
      <c r="C46" s="21" t="s">
        <v>302</v>
      </c>
      <c r="D46" s="21" t="s">
        <v>303</v>
      </c>
      <c r="E46" s="21" t="s">
        <v>63</v>
      </c>
      <c r="F46" s="21" t="s">
        <v>227</v>
      </c>
      <c r="G46" s="21" t="s">
        <v>118</v>
      </c>
      <c r="H46" s="21" t="s">
        <v>88</v>
      </c>
      <c r="I46" s="21" t="s">
        <v>78</v>
      </c>
      <c r="J46" s="32">
        <v>334428.89</v>
      </c>
      <c r="K46" s="21" t="s">
        <v>70</v>
      </c>
      <c r="L46" s="33">
        <v>45151</v>
      </c>
      <c r="M46" s="21" t="s">
        <v>80</v>
      </c>
      <c r="N46" s="32">
        <v>1019397.23</v>
      </c>
      <c r="O46" s="21" t="s">
        <v>150</v>
      </c>
      <c r="P46" s="21" t="str">
        <f t="shared" si="0"/>
        <v>2023-08</v>
      </c>
      <c r="Q46" s="21">
        <f t="shared" si="1"/>
        <v>2023</v>
      </c>
      <c r="R46" s="34">
        <f t="shared" si="2"/>
        <v>45139</v>
      </c>
      <c r="S46" s="21">
        <f t="shared" si="3"/>
        <v>0</v>
      </c>
      <c r="T46" s="21" t="str">
        <f t="shared" si="4"/>
        <v>Card-Based</v>
      </c>
      <c r="U46" s="21" t="str">
        <f t="shared" si="5"/>
        <v>One-Time</v>
      </c>
    </row>
    <row r="47" spans="1:21" x14ac:dyDescent="0.3">
      <c r="A47" s="21" t="s">
        <v>304</v>
      </c>
      <c r="B47" s="21">
        <v>545234</v>
      </c>
      <c r="C47" s="21" t="s">
        <v>305</v>
      </c>
      <c r="D47" s="21" t="s">
        <v>306</v>
      </c>
      <c r="E47" s="21" t="s">
        <v>62</v>
      </c>
      <c r="F47" s="21" t="s">
        <v>297</v>
      </c>
      <c r="G47" s="21" t="s">
        <v>111</v>
      </c>
      <c r="H47" s="21" t="s">
        <v>89</v>
      </c>
      <c r="I47" s="21" t="s">
        <v>78</v>
      </c>
      <c r="J47" s="32">
        <v>239589.03</v>
      </c>
      <c r="K47" s="21" t="s">
        <v>69</v>
      </c>
      <c r="L47" s="33">
        <v>45186</v>
      </c>
      <c r="M47" s="21" t="s">
        <v>80</v>
      </c>
      <c r="N47" s="32">
        <v>1886842.96</v>
      </c>
      <c r="O47" s="21" t="s">
        <v>150</v>
      </c>
      <c r="P47" s="21" t="str">
        <f t="shared" si="0"/>
        <v>2023-09</v>
      </c>
      <c r="Q47" s="21">
        <f t="shared" si="1"/>
        <v>2023</v>
      </c>
      <c r="R47" s="34">
        <f t="shared" si="2"/>
        <v>45170</v>
      </c>
      <c r="S47" s="21">
        <f t="shared" si="3"/>
        <v>0</v>
      </c>
      <c r="T47" s="21" t="str">
        <f t="shared" si="4"/>
        <v>Card-Based</v>
      </c>
      <c r="U47" s="21" t="str">
        <f t="shared" si="5"/>
        <v>One-Time</v>
      </c>
    </row>
    <row r="48" spans="1:21" x14ac:dyDescent="0.3">
      <c r="A48" s="21" t="s">
        <v>307</v>
      </c>
      <c r="B48" s="21">
        <v>282725</v>
      </c>
      <c r="C48" s="21" t="s">
        <v>308</v>
      </c>
      <c r="D48" s="21" t="s">
        <v>309</v>
      </c>
      <c r="E48" s="21" t="s">
        <v>62</v>
      </c>
      <c r="F48" s="21" t="s">
        <v>310</v>
      </c>
      <c r="G48" s="21" t="s">
        <v>110</v>
      </c>
      <c r="H48" s="21" t="s">
        <v>88</v>
      </c>
      <c r="I48" s="21" t="s">
        <v>76</v>
      </c>
      <c r="J48" s="32">
        <v>228752.03</v>
      </c>
      <c r="K48" s="21" t="s">
        <v>70</v>
      </c>
      <c r="L48" s="33">
        <v>45348</v>
      </c>
      <c r="M48" s="21" t="s">
        <v>80</v>
      </c>
      <c r="N48" s="32">
        <v>1606533</v>
      </c>
      <c r="O48" s="21" t="s">
        <v>311</v>
      </c>
      <c r="P48" s="21" t="str">
        <f t="shared" si="0"/>
        <v>2024-02</v>
      </c>
      <c r="Q48" s="21">
        <f t="shared" si="1"/>
        <v>2024</v>
      </c>
      <c r="R48" s="34">
        <f t="shared" si="2"/>
        <v>45323</v>
      </c>
      <c r="S48" s="21">
        <f t="shared" si="3"/>
        <v>1</v>
      </c>
      <c r="T48" s="21" t="str">
        <f t="shared" si="4"/>
        <v>Card-Based</v>
      </c>
      <c r="U48" s="21" t="str">
        <f t="shared" si="5"/>
        <v>One-Time</v>
      </c>
    </row>
    <row r="49" spans="1:21" x14ac:dyDescent="0.3">
      <c r="A49" s="21" t="s">
        <v>312</v>
      </c>
      <c r="B49" s="21">
        <v>798832</v>
      </c>
      <c r="C49" s="21" t="s">
        <v>313</v>
      </c>
      <c r="D49" s="21" t="s">
        <v>314</v>
      </c>
      <c r="E49" s="21" t="s">
        <v>62</v>
      </c>
      <c r="F49" s="21" t="s">
        <v>181</v>
      </c>
      <c r="G49" s="21" t="s">
        <v>123</v>
      </c>
      <c r="H49" s="21" t="s">
        <v>88</v>
      </c>
      <c r="I49" s="21" t="s">
        <v>76</v>
      </c>
      <c r="J49" s="32">
        <v>228603.21</v>
      </c>
      <c r="K49" s="21" t="s">
        <v>70</v>
      </c>
      <c r="L49" s="33">
        <v>45128</v>
      </c>
      <c r="M49" s="21" t="s">
        <v>80</v>
      </c>
      <c r="N49" s="32">
        <v>430998.17</v>
      </c>
      <c r="O49" s="21" t="s">
        <v>150</v>
      </c>
      <c r="P49" s="21" t="str">
        <f t="shared" si="0"/>
        <v>2023-07</v>
      </c>
      <c r="Q49" s="21">
        <f t="shared" si="1"/>
        <v>2023</v>
      </c>
      <c r="R49" s="34">
        <f t="shared" si="2"/>
        <v>45108</v>
      </c>
      <c r="S49" s="21">
        <f t="shared" si="3"/>
        <v>0</v>
      </c>
      <c r="T49" s="21" t="str">
        <f t="shared" si="4"/>
        <v>Card-Based</v>
      </c>
      <c r="U49" s="21" t="str">
        <f t="shared" si="5"/>
        <v>One-Time</v>
      </c>
    </row>
    <row r="50" spans="1:21" x14ac:dyDescent="0.3">
      <c r="A50" s="21" t="s">
        <v>315</v>
      </c>
      <c r="B50" s="21">
        <v>693194</v>
      </c>
      <c r="C50" s="21" t="s">
        <v>316</v>
      </c>
      <c r="D50" s="21" t="s">
        <v>317</v>
      </c>
      <c r="E50" s="21" t="s">
        <v>61</v>
      </c>
      <c r="F50" s="21" t="s">
        <v>195</v>
      </c>
      <c r="G50" s="21" t="s">
        <v>116</v>
      </c>
      <c r="H50" s="21" t="s">
        <v>89</v>
      </c>
      <c r="I50" s="21" t="s">
        <v>76</v>
      </c>
      <c r="J50" s="32">
        <v>241180.65</v>
      </c>
      <c r="K50" s="21" t="s">
        <v>70</v>
      </c>
      <c r="L50" s="33">
        <v>45258</v>
      </c>
      <c r="M50" s="21" t="s">
        <v>80</v>
      </c>
      <c r="N50" s="32">
        <v>820338.34</v>
      </c>
      <c r="O50" s="21" t="s">
        <v>150</v>
      </c>
      <c r="P50" s="21" t="str">
        <f t="shared" si="0"/>
        <v>2023-11</v>
      </c>
      <c r="Q50" s="21">
        <f t="shared" si="1"/>
        <v>2023</v>
      </c>
      <c r="R50" s="34">
        <f t="shared" si="2"/>
        <v>45231</v>
      </c>
      <c r="S50" s="21">
        <f t="shared" si="3"/>
        <v>0</v>
      </c>
      <c r="T50" s="21" t="str">
        <f t="shared" si="4"/>
        <v>Card-Based</v>
      </c>
      <c r="U50" s="21" t="str">
        <f t="shared" si="5"/>
        <v>One-Time</v>
      </c>
    </row>
    <row r="51" spans="1:21" x14ac:dyDescent="0.3">
      <c r="A51" s="21" t="s">
        <v>318</v>
      </c>
      <c r="B51" s="21">
        <v>178161</v>
      </c>
      <c r="C51" s="21" t="s">
        <v>319</v>
      </c>
      <c r="D51" s="21" t="s">
        <v>320</v>
      </c>
      <c r="E51" s="21" t="s">
        <v>60</v>
      </c>
      <c r="F51" s="21" t="s">
        <v>173</v>
      </c>
      <c r="G51" s="21" t="s">
        <v>117</v>
      </c>
      <c r="H51" s="21" t="s">
        <v>86</v>
      </c>
      <c r="I51" s="21" t="s">
        <v>76</v>
      </c>
      <c r="J51" s="32">
        <v>181478.37</v>
      </c>
      <c r="K51" s="21" t="s">
        <v>68</v>
      </c>
      <c r="L51" s="33">
        <v>45259</v>
      </c>
      <c r="M51" s="21" t="s">
        <v>80</v>
      </c>
      <c r="N51" s="32">
        <v>1640818.48</v>
      </c>
      <c r="O51" s="21" t="s">
        <v>150</v>
      </c>
      <c r="P51" s="21" t="str">
        <f t="shared" si="0"/>
        <v>2023-11</v>
      </c>
      <c r="Q51" s="21">
        <f t="shared" si="1"/>
        <v>2023</v>
      </c>
      <c r="R51" s="34">
        <f t="shared" si="2"/>
        <v>45231</v>
      </c>
      <c r="S51" s="21">
        <f t="shared" si="3"/>
        <v>0</v>
      </c>
      <c r="T51" s="21" t="str">
        <f t="shared" si="4"/>
        <v>Digital</v>
      </c>
      <c r="U51" s="21" t="str">
        <f t="shared" si="5"/>
        <v>One-Time</v>
      </c>
    </row>
    <row r="52" spans="1:21" x14ac:dyDescent="0.3">
      <c r="A52" s="21" t="s">
        <v>321</v>
      </c>
      <c r="B52" s="21">
        <v>945986</v>
      </c>
      <c r="C52" s="21" t="s">
        <v>322</v>
      </c>
      <c r="D52" s="21" t="s">
        <v>323</v>
      </c>
      <c r="E52" s="21" t="s">
        <v>62</v>
      </c>
      <c r="F52" s="21" t="s">
        <v>181</v>
      </c>
      <c r="G52" s="21" t="s">
        <v>123</v>
      </c>
      <c r="H52" s="21" t="s">
        <v>87</v>
      </c>
      <c r="I52" s="21" t="s">
        <v>75</v>
      </c>
      <c r="J52" s="32">
        <v>273414.65999999997</v>
      </c>
      <c r="K52" s="21" t="s">
        <v>70</v>
      </c>
      <c r="L52" s="33">
        <v>45712</v>
      </c>
      <c r="M52" s="21" t="s">
        <v>83</v>
      </c>
      <c r="N52" s="32">
        <v>673253.87</v>
      </c>
      <c r="O52" s="21" t="s">
        <v>150</v>
      </c>
      <c r="P52" s="21" t="str">
        <f t="shared" si="0"/>
        <v>2025-02</v>
      </c>
      <c r="Q52" s="21">
        <f t="shared" si="1"/>
        <v>2025</v>
      </c>
      <c r="R52" s="34">
        <f t="shared" si="2"/>
        <v>45689</v>
      </c>
      <c r="S52" s="21">
        <f t="shared" si="3"/>
        <v>0</v>
      </c>
      <c r="T52" s="21" t="str">
        <f t="shared" si="4"/>
        <v>Card-Based</v>
      </c>
      <c r="U52" s="21" t="str">
        <f t="shared" si="5"/>
        <v>One-Time</v>
      </c>
    </row>
    <row r="53" spans="1:21" x14ac:dyDescent="0.3">
      <c r="A53" s="21" t="s">
        <v>324</v>
      </c>
      <c r="B53" s="21">
        <v>969262</v>
      </c>
      <c r="C53" s="21" t="s">
        <v>325</v>
      </c>
      <c r="D53" s="21" t="s">
        <v>326</v>
      </c>
      <c r="E53" s="21" t="s">
        <v>60</v>
      </c>
      <c r="F53" s="21" t="s">
        <v>173</v>
      </c>
      <c r="G53" s="21" t="s">
        <v>117</v>
      </c>
      <c r="H53" s="21" t="s">
        <v>86</v>
      </c>
      <c r="I53" s="21" t="s">
        <v>77</v>
      </c>
      <c r="J53" s="32">
        <v>17312.52</v>
      </c>
      <c r="K53" s="21" t="s">
        <v>68</v>
      </c>
      <c r="L53" s="33">
        <v>45798</v>
      </c>
      <c r="M53" s="21" t="s">
        <v>80</v>
      </c>
      <c r="N53" s="32">
        <v>988997.22</v>
      </c>
      <c r="O53" s="21" t="s">
        <v>311</v>
      </c>
      <c r="P53" s="21" t="str">
        <f t="shared" si="0"/>
        <v>2025-05</v>
      </c>
      <c r="Q53" s="21">
        <f t="shared" si="1"/>
        <v>2025</v>
      </c>
      <c r="R53" s="34">
        <f t="shared" si="2"/>
        <v>45778</v>
      </c>
      <c r="S53" s="21">
        <f t="shared" si="3"/>
        <v>1</v>
      </c>
      <c r="T53" s="21" t="str">
        <f t="shared" si="4"/>
        <v>Digital</v>
      </c>
      <c r="U53" s="21" t="str">
        <f t="shared" si="5"/>
        <v>One-Time</v>
      </c>
    </row>
    <row r="54" spans="1:21" x14ac:dyDescent="0.3">
      <c r="A54" s="21" t="s">
        <v>327</v>
      </c>
      <c r="B54" s="21">
        <v>624419</v>
      </c>
      <c r="C54" s="21" t="s">
        <v>328</v>
      </c>
      <c r="D54" s="21" t="s">
        <v>329</v>
      </c>
      <c r="E54" s="21" t="s">
        <v>61</v>
      </c>
      <c r="F54" s="21" t="s">
        <v>330</v>
      </c>
      <c r="G54" s="21" t="s">
        <v>121</v>
      </c>
      <c r="H54" s="21" t="s">
        <v>88</v>
      </c>
      <c r="I54" s="21" t="s">
        <v>78</v>
      </c>
      <c r="J54" s="32">
        <v>320272.01</v>
      </c>
      <c r="K54" s="21" t="s">
        <v>68</v>
      </c>
      <c r="L54" s="33">
        <v>45153</v>
      </c>
      <c r="M54" s="21" t="s">
        <v>80</v>
      </c>
      <c r="N54" s="32">
        <v>855697.4</v>
      </c>
      <c r="O54" s="21" t="s">
        <v>150</v>
      </c>
      <c r="P54" s="21" t="str">
        <f t="shared" si="0"/>
        <v>2023-08</v>
      </c>
      <c r="Q54" s="21">
        <f t="shared" si="1"/>
        <v>2023</v>
      </c>
      <c r="R54" s="34">
        <f t="shared" si="2"/>
        <v>45139</v>
      </c>
      <c r="S54" s="21">
        <f t="shared" si="3"/>
        <v>0</v>
      </c>
      <c r="T54" s="21" t="str">
        <f t="shared" si="4"/>
        <v>Digital</v>
      </c>
      <c r="U54" s="21" t="str">
        <f t="shared" si="5"/>
        <v>One-Time</v>
      </c>
    </row>
    <row r="55" spans="1:21" x14ac:dyDescent="0.3">
      <c r="A55" s="21" t="s">
        <v>331</v>
      </c>
      <c r="B55" s="21">
        <v>690301</v>
      </c>
      <c r="C55" s="21" t="s">
        <v>332</v>
      </c>
      <c r="D55" s="21" t="s">
        <v>333</v>
      </c>
      <c r="E55" s="21" t="s">
        <v>61</v>
      </c>
      <c r="F55" s="21" t="s">
        <v>195</v>
      </c>
      <c r="G55" s="21" t="s">
        <v>116</v>
      </c>
      <c r="H55" s="21" t="s">
        <v>89</v>
      </c>
      <c r="I55" s="21" t="s">
        <v>76</v>
      </c>
      <c r="J55" s="32">
        <v>72231.47</v>
      </c>
      <c r="K55" s="21" t="s">
        <v>69</v>
      </c>
      <c r="L55" s="33">
        <v>45492</v>
      </c>
      <c r="M55" s="21" t="s">
        <v>80</v>
      </c>
      <c r="N55" s="32">
        <v>1904363.29</v>
      </c>
      <c r="O55" s="21" t="s">
        <v>150</v>
      </c>
      <c r="P55" s="21" t="str">
        <f t="shared" si="0"/>
        <v>2024-07</v>
      </c>
      <c r="Q55" s="21">
        <f t="shared" si="1"/>
        <v>2024</v>
      </c>
      <c r="R55" s="34">
        <f t="shared" si="2"/>
        <v>45474</v>
      </c>
      <c r="S55" s="21">
        <f t="shared" si="3"/>
        <v>0</v>
      </c>
      <c r="T55" s="21" t="str">
        <f t="shared" si="4"/>
        <v>Card-Based</v>
      </c>
      <c r="U55" s="21" t="str">
        <f t="shared" si="5"/>
        <v>One-Time</v>
      </c>
    </row>
    <row r="56" spans="1:21" x14ac:dyDescent="0.3">
      <c r="A56" s="21" t="s">
        <v>334</v>
      </c>
      <c r="B56" s="21">
        <v>247721</v>
      </c>
      <c r="C56" s="21" t="s">
        <v>335</v>
      </c>
      <c r="D56" s="21" t="s">
        <v>336</v>
      </c>
      <c r="E56" s="21" t="s">
        <v>64</v>
      </c>
      <c r="F56" s="21" t="s">
        <v>188</v>
      </c>
      <c r="G56" s="21" t="s">
        <v>112</v>
      </c>
      <c r="H56" s="21" t="s">
        <v>88</v>
      </c>
      <c r="I56" s="21" t="s">
        <v>77</v>
      </c>
      <c r="J56" s="32">
        <v>27223.82</v>
      </c>
      <c r="K56" s="21" t="s">
        <v>70</v>
      </c>
      <c r="L56" s="33">
        <v>45595</v>
      </c>
      <c r="M56" s="21" t="s">
        <v>80</v>
      </c>
      <c r="N56" s="32">
        <v>1584338.01</v>
      </c>
      <c r="O56" s="21" t="s">
        <v>150</v>
      </c>
      <c r="P56" s="21" t="str">
        <f t="shared" si="0"/>
        <v>2024-10</v>
      </c>
      <c r="Q56" s="21">
        <f t="shared" si="1"/>
        <v>2024</v>
      </c>
      <c r="R56" s="34">
        <f t="shared" si="2"/>
        <v>45566</v>
      </c>
      <c r="S56" s="21">
        <f t="shared" si="3"/>
        <v>0</v>
      </c>
      <c r="T56" s="21" t="str">
        <f t="shared" si="4"/>
        <v>Card-Based</v>
      </c>
      <c r="U56" s="21" t="str">
        <f t="shared" si="5"/>
        <v>One-Time</v>
      </c>
    </row>
    <row r="57" spans="1:21" x14ac:dyDescent="0.3">
      <c r="A57" s="21" t="s">
        <v>337</v>
      </c>
      <c r="B57" s="21">
        <v>752827</v>
      </c>
      <c r="C57" s="21" t="s">
        <v>338</v>
      </c>
      <c r="D57" s="21" t="s">
        <v>339</v>
      </c>
      <c r="E57" s="21" t="s">
        <v>60</v>
      </c>
      <c r="F57" s="21" t="s">
        <v>166</v>
      </c>
      <c r="G57" s="21" t="s">
        <v>107</v>
      </c>
      <c r="H57" s="21" t="s">
        <v>88</v>
      </c>
      <c r="I57" s="21" t="s">
        <v>77</v>
      </c>
      <c r="J57" s="32">
        <v>94133.21</v>
      </c>
      <c r="K57" s="21" t="s">
        <v>68</v>
      </c>
      <c r="L57" s="33">
        <v>45804</v>
      </c>
      <c r="M57" s="21" t="s">
        <v>81</v>
      </c>
      <c r="N57" s="32">
        <v>545204.92000000004</v>
      </c>
      <c r="O57" s="21" t="s">
        <v>150</v>
      </c>
      <c r="P57" s="21" t="str">
        <f t="shared" si="0"/>
        <v>2025-05</v>
      </c>
      <c r="Q57" s="21">
        <f t="shared" si="1"/>
        <v>2025</v>
      </c>
      <c r="R57" s="34">
        <f t="shared" si="2"/>
        <v>45778</v>
      </c>
      <c r="S57" s="21">
        <f t="shared" si="3"/>
        <v>0</v>
      </c>
      <c r="T57" s="21" t="str">
        <f t="shared" si="4"/>
        <v>Digital</v>
      </c>
      <c r="U57" s="21" t="str">
        <f t="shared" si="5"/>
        <v>One-Time</v>
      </c>
    </row>
    <row r="58" spans="1:21" x14ac:dyDescent="0.3">
      <c r="A58" s="21" t="s">
        <v>340</v>
      </c>
      <c r="B58" s="21">
        <v>407754</v>
      </c>
      <c r="C58" s="21" t="s">
        <v>341</v>
      </c>
      <c r="D58" s="21" t="s">
        <v>342</v>
      </c>
      <c r="E58" s="21" t="s">
        <v>62</v>
      </c>
      <c r="F58" s="21" t="s">
        <v>310</v>
      </c>
      <c r="G58" s="21" t="s">
        <v>110</v>
      </c>
      <c r="H58" s="21" t="s">
        <v>87</v>
      </c>
      <c r="I58" s="21" t="s">
        <v>76</v>
      </c>
      <c r="J58" s="32">
        <v>176352.05</v>
      </c>
      <c r="K58" s="21" t="s">
        <v>70</v>
      </c>
      <c r="L58" s="33">
        <v>45662</v>
      </c>
      <c r="M58" s="21" t="s">
        <v>80</v>
      </c>
      <c r="N58" s="32">
        <v>1754863.47</v>
      </c>
      <c r="O58" s="21" t="s">
        <v>150</v>
      </c>
      <c r="P58" s="21" t="str">
        <f t="shared" si="0"/>
        <v>2025-01</v>
      </c>
      <c r="Q58" s="21">
        <f t="shared" si="1"/>
        <v>2025</v>
      </c>
      <c r="R58" s="34">
        <f t="shared" si="2"/>
        <v>45658</v>
      </c>
      <c r="S58" s="21">
        <f t="shared" si="3"/>
        <v>0</v>
      </c>
      <c r="T58" s="21" t="str">
        <f t="shared" si="4"/>
        <v>Card-Based</v>
      </c>
      <c r="U58" s="21" t="str">
        <f t="shared" si="5"/>
        <v>One-Time</v>
      </c>
    </row>
    <row r="59" spans="1:21" x14ac:dyDescent="0.3">
      <c r="A59" s="21" t="s">
        <v>343</v>
      </c>
      <c r="B59" s="21">
        <v>567798</v>
      </c>
      <c r="C59" s="21" t="s">
        <v>344</v>
      </c>
      <c r="D59" s="21" t="s">
        <v>345</v>
      </c>
      <c r="E59" s="21" t="s">
        <v>64</v>
      </c>
      <c r="F59" s="21" t="s">
        <v>188</v>
      </c>
      <c r="G59" s="21" t="s">
        <v>112</v>
      </c>
      <c r="H59" s="21" t="s">
        <v>87</v>
      </c>
      <c r="I59" s="21" t="s">
        <v>75</v>
      </c>
      <c r="J59" s="32">
        <v>125796.18</v>
      </c>
      <c r="K59" s="21" t="s">
        <v>69</v>
      </c>
      <c r="L59" s="33">
        <v>45518</v>
      </c>
      <c r="M59" s="21" t="s">
        <v>83</v>
      </c>
      <c r="N59" s="32">
        <v>310897.05</v>
      </c>
      <c r="O59" s="21" t="s">
        <v>150</v>
      </c>
      <c r="P59" s="21" t="str">
        <f t="shared" si="0"/>
        <v>2024-08</v>
      </c>
      <c r="Q59" s="21">
        <f t="shared" si="1"/>
        <v>2024</v>
      </c>
      <c r="R59" s="34">
        <f t="shared" si="2"/>
        <v>45505</v>
      </c>
      <c r="S59" s="21">
        <f t="shared" si="3"/>
        <v>0</v>
      </c>
      <c r="T59" s="21" t="str">
        <f t="shared" si="4"/>
        <v>Card-Based</v>
      </c>
      <c r="U59" s="21" t="str">
        <f t="shared" si="5"/>
        <v>One-Time</v>
      </c>
    </row>
    <row r="60" spans="1:21" x14ac:dyDescent="0.3">
      <c r="A60" s="21" t="s">
        <v>346</v>
      </c>
      <c r="B60" s="21">
        <v>552695</v>
      </c>
      <c r="C60" s="21" t="s">
        <v>347</v>
      </c>
      <c r="D60" s="21" t="s">
        <v>348</v>
      </c>
      <c r="E60" s="21" t="s">
        <v>60</v>
      </c>
      <c r="F60" s="21" t="s">
        <v>286</v>
      </c>
      <c r="G60" s="21" t="s">
        <v>124</v>
      </c>
      <c r="H60" s="21" t="s">
        <v>86</v>
      </c>
      <c r="I60" s="21" t="s">
        <v>76</v>
      </c>
      <c r="J60" s="32">
        <v>450326.06</v>
      </c>
      <c r="K60" s="21" t="s">
        <v>72</v>
      </c>
      <c r="L60" s="33">
        <v>45651</v>
      </c>
      <c r="M60" s="21" t="s">
        <v>80</v>
      </c>
      <c r="N60" s="32">
        <v>686226.5</v>
      </c>
      <c r="O60" s="21" t="s">
        <v>150</v>
      </c>
      <c r="P60" s="21" t="str">
        <f t="shared" si="0"/>
        <v>2024-12</v>
      </c>
      <c r="Q60" s="21">
        <f t="shared" si="1"/>
        <v>2024</v>
      </c>
      <c r="R60" s="34">
        <f t="shared" si="2"/>
        <v>45627</v>
      </c>
      <c r="S60" s="21">
        <f t="shared" si="3"/>
        <v>0</v>
      </c>
      <c r="T60" s="21" t="str">
        <f t="shared" si="4"/>
        <v>Cash-Based</v>
      </c>
      <c r="U60" s="21" t="str">
        <f t="shared" si="5"/>
        <v>One-Time</v>
      </c>
    </row>
    <row r="61" spans="1:21" x14ac:dyDescent="0.3">
      <c r="A61" s="21" t="s">
        <v>349</v>
      </c>
      <c r="B61" s="21">
        <v>683741</v>
      </c>
      <c r="C61" s="21" t="s">
        <v>350</v>
      </c>
      <c r="D61" s="21" t="s">
        <v>351</v>
      </c>
      <c r="E61" s="21" t="s">
        <v>61</v>
      </c>
      <c r="F61" s="21" t="s">
        <v>330</v>
      </c>
      <c r="G61" s="21" t="s">
        <v>121</v>
      </c>
      <c r="H61" s="21" t="s">
        <v>86</v>
      </c>
      <c r="I61" s="21" t="s">
        <v>78</v>
      </c>
      <c r="J61" s="32">
        <v>511661.67</v>
      </c>
      <c r="K61" s="21" t="s">
        <v>70</v>
      </c>
      <c r="L61" s="33">
        <v>45415</v>
      </c>
      <c r="M61" s="21" t="s">
        <v>80</v>
      </c>
      <c r="N61" s="32">
        <v>613016.15</v>
      </c>
      <c r="O61" s="21" t="s">
        <v>150</v>
      </c>
      <c r="P61" s="21" t="str">
        <f t="shared" si="0"/>
        <v>2024-05</v>
      </c>
      <c r="Q61" s="21">
        <f t="shared" si="1"/>
        <v>2024</v>
      </c>
      <c r="R61" s="34">
        <f t="shared" si="2"/>
        <v>45413</v>
      </c>
      <c r="S61" s="21">
        <f t="shared" si="3"/>
        <v>0</v>
      </c>
      <c r="T61" s="21" t="str">
        <f t="shared" si="4"/>
        <v>Card-Based</v>
      </c>
      <c r="U61" s="21" t="str">
        <f t="shared" si="5"/>
        <v>One-Time</v>
      </c>
    </row>
    <row r="62" spans="1:21" x14ac:dyDescent="0.3">
      <c r="A62" s="21" t="s">
        <v>352</v>
      </c>
      <c r="B62" s="21">
        <v>553618</v>
      </c>
      <c r="C62" s="21" t="s">
        <v>353</v>
      </c>
      <c r="D62" s="21" t="s">
        <v>354</v>
      </c>
      <c r="E62" s="21" t="s">
        <v>60</v>
      </c>
      <c r="F62" s="21" t="s">
        <v>173</v>
      </c>
      <c r="G62" s="21" t="s">
        <v>117</v>
      </c>
      <c r="H62" s="21" t="s">
        <v>88</v>
      </c>
      <c r="I62" s="21" t="s">
        <v>76</v>
      </c>
      <c r="J62" s="32">
        <v>188748.49</v>
      </c>
      <c r="K62" s="21" t="s">
        <v>70</v>
      </c>
      <c r="L62" s="33">
        <v>45698</v>
      </c>
      <c r="M62" s="21" t="s">
        <v>80</v>
      </c>
      <c r="N62" s="32">
        <v>631156.77</v>
      </c>
      <c r="O62" s="21" t="s">
        <v>150</v>
      </c>
      <c r="P62" s="21" t="str">
        <f t="shared" si="0"/>
        <v>2025-02</v>
      </c>
      <c r="Q62" s="21">
        <f t="shared" si="1"/>
        <v>2025</v>
      </c>
      <c r="R62" s="34">
        <f t="shared" si="2"/>
        <v>45689</v>
      </c>
      <c r="S62" s="21">
        <f t="shared" si="3"/>
        <v>0</v>
      </c>
      <c r="T62" s="21" t="str">
        <f t="shared" si="4"/>
        <v>Card-Based</v>
      </c>
      <c r="U62" s="21" t="str">
        <f t="shared" si="5"/>
        <v>One-Time</v>
      </c>
    </row>
    <row r="63" spans="1:21" x14ac:dyDescent="0.3">
      <c r="A63" s="21" t="s">
        <v>355</v>
      </c>
      <c r="B63" s="21">
        <v>883947</v>
      </c>
      <c r="C63" s="21" t="s">
        <v>356</v>
      </c>
      <c r="D63" s="21" t="s">
        <v>357</v>
      </c>
      <c r="E63" s="21" t="s">
        <v>62</v>
      </c>
      <c r="F63" s="21" t="s">
        <v>310</v>
      </c>
      <c r="G63" s="21" t="s">
        <v>110</v>
      </c>
      <c r="H63" s="21" t="s">
        <v>89</v>
      </c>
      <c r="I63" s="21" t="s">
        <v>76</v>
      </c>
      <c r="J63" s="32">
        <v>336060.86</v>
      </c>
      <c r="K63" s="21" t="s">
        <v>69</v>
      </c>
      <c r="L63" s="33">
        <v>45581</v>
      </c>
      <c r="M63" s="21" t="s">
        <v>80</v>
      </c>
      <c r="N63" s="32">
        <v>501511.86</v>
      </c>
      <c r="O63" s="21" t="s">
        <v>150</v>
      </c>
      <c r="P63" s="21" t="str">
        <f t="shared" si="0"/>
        <v>2024-10</v>
      </c>
      <c r="Q63" s="21">
        <f t="shared" si="1"/>
        <v>2024</v>
      </c>
      <c r="R63" s="34">
        <f t="shared" si="2"/>
        <v>45566</v>
      </c>
      <c r="S63" s="21">
        <f t="shared" si="3"/>
        <v>0</v>
      </c>
      <c r="T63" s="21" t="str">
        <f t="shared" si="4"/>
        <v>Card-Based</v>
      </c>
      <c r="U63" s="21" t="str">
        <f t="shared" si="5"/>
        <v>One-Time</v>
      </c>
    </row>
    <row r="64" spans="1:21" x14ac:dyDescent="0.3">
      <c r="A64" s="21" t="s">
        <v>358</v>
      </c>
      <c r="B64" s="21">
        <v>561029</v>
      </c>
      <c r="C64" s="21" t="s">
        <v>359</v>
      </c>
      <c r="D64" s="21" t="s">
        <v>360</v>
      </c>
      <c r="E64" s="21" t="s">
        <v>62</v>
      </c>
      <c r="F64" s="21" t="s">
        <v>181</v>
      </c>
      <c r="G64" s="21" t="s">
        <v>123</v>
      </c>
      <c r="H64" s="21" t="s">
        <v>89</v>
      </c>
      <c r="I64" s="21" t="s">
        <v>77</v>
      </c>
      <c r="J64" s="32">
        <v>62046.95</v>
      </c>
      <c r="K64" s="21" t="s">
        <v>72</v>
      </c>
      <c r="L64" s="33">
        <v>45666</v>
      </c>
      <c r="M64" s="21" t="s">
        <v>83</v>
      </c>
      <c r="N64" s="32">
        <v>375954.72</v>
      </c>
      <c r="O64" s="21" t="s">
        <v>150</v>
      </c>
      <c r="P64" s="21" t="str">
        <f t="shared" si="0"/>
        <v>2025-01</v>
      </c>
      <c r="Q64" s="21">
        <f t="shared" si="1"/>
        <v>2025</v>
      </c>
      <c r="R64" s="34">
        <f t="shared" si="2"/>
        <v>45658</v>
      </c>
      <c r="S64" s="21">
        <f t="shared" si="3"/>
        <v>0</v>
      </c>
      <c r="T64" s="21" t="str">
        <f t="shared" si="4"/>
        <v>Cash-Based</v>
      </c>
      <c r="U64" s="21" t="str">
        <f t="shared" si="5"/>
        <v>One-Time</v>
      </c>
    </row>
    <row r="65" spans="1:21" x14ac:dyDescent="0.3">
      <c r="A65" s="21" t="s">
        <v>361</v>
      </c>
      <c r="B65" s="21">
        <v>123451</v>
      </c>
      <c r="C65" s="21" t="s">
        <v>362</v>
      </c>
      <c r="D65" s="21" t="s">
        <v>363</v>
      </c>
      <c r="E65" s="21" t="s">
        <v>61</v>
      </c>
      <c r="F65" s="21" t="s">
        <v>364</v>
      </c>
      <c r="G65" s="21" t="s">
        <v>130</v>
      </c>
      <c r="H65" s="21" t="s">
        <v>87</v>
      </c>
      <c r="I65" s="21" t="s">
        <v>75</v>
      </c>
      <c r="J65" s="32">
        <v>186460.63</v>
      </c>
      <c r="K65" s="21" t="s">
        <v>71</v>
      </c>
      <c r="L65" s="33">
        <v>45357</v>
      </c>
      <c r="M65" s="21" t="s">
        <v>82</v>
      </c>
      <c r="N65" s="32">
        <v>687831.58</v>
      </c>
      <c r="O65" s="21" t="s">
        <v>150</v>
      </c>
      <c r="P65" s="21" t="str">
        <f t="shared" si="0"/>
        <v>2024-03</v>
      </c>
      <c r="Q65" s="21">
        <f t="shared" si="1"/>
        <v>2024</v>
      </c>
      <c r="R65" s="34">
        <f t="shared" si="2"/>
        <v>45352</v>
      </c>
      <c r="S65" s="21">
        <f t="shared" si="3"/>
        <v>0</v>
      </c>
      <c r="T65" s="21" t="str">
        <f t="shared" si="4"/>
        <v>Digital</v>
      </c>
      <c r="U65" s="21" t="str">
        <f t="shared" si="5"/>
        <v>One-Time</v>
      </c>
    </row>
    <row r="66" spans="1:21" x14ac:dyDescent="0.3">
      <c r="A66" s="21" t="s">
        <v>365</v>
      </c>
      <c r="B66" s="21">
        <v>932665</v>
      </c>
      <c r="C66" s="21" t="s">
        <v>366</v>
      </c>
      <c r="D66" s="21" t="s">
        <v>367</v>
      </c>
      <c r="E66" s="21" t="s">
        <v>61</v>
      </c>
      <c r="F66" s="21" t="s">
        <v>364</v>
      </c>
      <c r="G66" s="21" t="s">
        <v>130</v>
      </c>
      <c r="H66" s="21" t="s">
        <v>88</v>
      </c>
      <c r="I66" s="21" t="s">
        <v>75</v>
      </c>
      <c r="J66" s="32">
        <v>10454.32</v>
      </c>
      <c r="K66" s="21" t="s">
        <v>72</v>
      </c>
      <c r="L66" s="33">
        <v>45475</v>
      </c>
      <c r="M66" s="21" t="s">
        <v>80</v>
      </c>
      <c r="N66" s="32">
        <v>167674.6</v>
      </c>
      <c r="O66" s="21" t="s">
        <v>150</v>
      </c>
      <c r="P66" s="21" t="str">
        <f t="shared" ref="P66:P129" si="6">TEXT(L66,"yyyy-mm")</f>
        <v>2024-07</v>
      </c>
      <c r="Q66" s="21">
        <f t="shared" ref="Q66:Q129" si="7">YEAR(L66)</f>
        <v>2024</v>
      </c>
      <c r="R66" s="34">
        <f t="shared" ref="R66:R129" si="8">DATE(YEAR(L66),MONTH(L66),1)</f>
        <v>45474</v>
      </c>
      <c r="S66" s="21">
        <f t="shared" ref="S66:S129" si="9">IF(O66="Yes",1,0)</f>
        <v>0</v>
      </c>
      <c r="T66" s="21" t="str">
        <f t="shared" ref="T66:T129" si="10">IF(OR(K66="UPI",K66="Net Banking"),"Digital",IF(OR(K66="Debit Card",K66="Credit Card"),"Card-Based",IF(K66="Cash","Cash-Based","Unknown")))</f>
        <v>Cash-Based</v>
      </c>
      <c r="U66" s="21" t="str">
        <f t="shared" ref="U66:U129" si="11">IF(COUNTIF($B$2:$B$501,B66)&gt;1,"Frequent","One-Time")</f>
        <v>One-Time</v>
      </c>
    </row>
    <row r="67" spans="1:21" x14ac:dyDescent="0.3">
      <c r="A67" s="21" t="s">
        <v>368</v>
      </c>
      <c r="B67" s="21">
        <v>105013</v>
      </c>
      <c r="C67" s="21" t="s">
        <v>369</v>
      </c>
      <c r="D67" s="21" t="s">
        <v>370</v>
      </c>
      <c r="E67" s="21" t="s">
        <v>62</v>
      </c>
      <c r="F67" s="21" t="s">
        <v>275</v>
      </c>
      <c r="G67" s="21" t="s">
        <v>109</v>
      </c>
      <c r="H67" s="21" t="s">
        <v>89</v>
      </c>
      <c r="I67" s="21" t="s">
        <v>76</v>
      </c>
      <c r="J67" s="32">
        <v>207043.55</v>
      </c>
      <c r="K67" s="21" t="s">
        <v>69</v>
      </c>
      <c r="L67" s="33">
        <v>45569</v>
      </c>
      <c r="M67" s="21" t="s">
        <v>80</v>
      </c>
      <c r="N67" s="32">
        <v>1957746.55</v>
      </c>
      <c r="O67" s="21" t="s">
        <v>150</v>
      </c>
      <c r="P67" s="21" t="str">
        <f t="shared" si="6"/>
        <v>2024-10</v>
      </c>
      <c r="Q67" s="21">
        <f t="shared" si="7"/>
        <v>2024</v>
      </c>
      <c r="R67" s="34">
        <f t="shared" si="8"/>
        <v>45566</v>
      </c>
      <c r="S67" s="21">
        <f t="shared" si="9"/>
        <v>0</v>
      </c>
      <c r="T67" s="21" t="str">
        <f t="shared" si="10"/>
        <v>Card-Based</v>
      </c>
      <c r="U67" s="21" t="str">
        <f t="shared" si="11"/>
        <v>One-Time</v>
      </c>
    </row>
    <row r="68" spans="1:21" x14ac:dyDescent="0.3">
      <c r="A68" s="21" t="s">
        <v>371</v>
      </c>
      <c r="B68" s="21">
        <v>876150</v>
      </c>
      <c r="C68" s="21" t="s">
        <v>372</v>
      </c>
      <c r="D68" s="21" t="s">
        <v>373</v>
      </c>
      <c r="E68" s="21" t="s">
        <v>62</v>
      </c>
      <c r="F68" s="21" t="s">
        <v>275</v>
      </c>
      <c r="G68" s="21" t="s">
        <v>109</v>
      </c>
      <c r="H68" s="21" t="s">
        <v>89</v>
      </c>
      <c r="I68" s="21" t="s">
        <v>75</v>
      </c>
      <c r="J68" s="32">
        <v>2685.68</v>
      </c>
      <c r="K68" s="21" t="s">
        <v>72</v>
      </c>
      <c r="L68" s="33">
        <v>45642</v>
      </c>
      <c r="M68" s="21" t="s">
        <v>80</v>
      </c>
      <c r="N68" s="32">
        <v>1087487.46</v>
      </c>
      <c r="O68" s="21" t="s">
        <v>150</v>
      </c>
      <c r="P68" s="21" t="str">
        <f t="shared" si="6"/>
        <v>2024-12</v>
      </c>
      <c r="Q68" s="21">
        <f t="shared" si="7"/>
        <v>2024</v>
      </c>
      <c r="R68" s="34">
        <f t="shared" si="8"/>
        <v>45627</v>
      </c>
      <c r="S68" s="21">
        <f t="shared" si="9"/>
        <v>0</v>
      </c>
      <c r="T68" s="21" t="str">
        <f t="shared" si="10"/>
        <v>Cash-Based</v>
      </c>
      <c r="U68" s="21" t="str">
        <f t="shared" si="11"/>
        <v>One-Time</v>
      </c>
    </row>
    <row r="69" spans="1:21" x14ac:dyDescent="0.3">
      <c r="A69" s="21" t="s">
        <v>374</v>
      </c>
      <c r="B69" s="21">
        <v>897276</v>
      </c>
      <c r="C69" s="21" t="s">
        <v>375</v>
      </c>
      <c r="D69" s="21" t="s">
        <v>376</v>
      </c>
      <c r="E69" s="21" t="s">
        <v>60</v>
      </c>
      <c r="F69" s="21" t="s">
        <v>149</v>
      </c>
      <c r="G69" s="21" t="s">
        <v>119</v>
      </c>
      <c r="H69" s="21" t="s">
        <v>89</v>
      </c>
      <c r="I69" s="21" t="s">
        <v>77</v>
      </c>
      <c r="J69" s="32">
        <v>86872.7</v>
      </c>
      <c r="K69" s="21" t="s">
        <v>68</v>
      </c>
      <c r="L69" s="33">
        <v>45266</v>
      </c>
      <c r="M69" s="21" t="s">
        <v>80</v>
      </c>
      <c r="N69" s="32">
        <v>1480230.05</v>
      </c>
      <c r="O69" s="21" t="s">
        <v>150</v>
      </c>
      <c r="P69" s="21" t="str">
        <f t="shared" si="6"/>
        <v>2023-12</v>
      </c>
      <c r="Q69" s="21">
        <f t="shared" si="7"/>
        <v>2023</v>
      </c>
      <c r="R69" s="34">
        <f t="shared" si="8"/>
        <v>45261</v>
      </c>
      <c r="S69" s="21">
        <f t="shared" si="9"/>
        <v>0</v>
      </c>
      <c r="T69" s="21" t="str">
        <f t="shared" si="10"/>
        <v>Digital</v>
      </c>
      <c r="U69" s="21" t="str">
        <f t="shared" si="11"/>
        <v>One-Time</v>
      </c>
    </row>
    <row r="70" spans="1:21" x14ac:dyDescent="0.3">
      <c r="A70" s="21" t="s">
        <v>377</v>
      </c>
      <c r="B70" s="21">
        <v>817632</v>
      </c>
      <c r="C70" s="21" t="s">
        <v>378</v>
      </c>
      <c r="D70" s="21" t="s">
        <v>379</v>
      </c>
      <c r="E70" s="21" t="s">
        <v>63</v>
      </c>
      <c r="F70" s="21" t="s">
        <v>293</v>
      </c>
      <c r="G70" s="21" t="s">
        <v>126</v>
      </c>
      <c r="H70" s="21" t="s">
        <v>89</v>
      </c>
      <c r="I70" s="21" t="s">
        <v>75</v>
      </c>
      <c r="J70" s="32">
        <v>254430.23</v>
      </c>
      <c r="K70" s="21" t="s">
        <v>71</v>
      </c>
      <c r="L70" s="33">
        <v>45286</v>
      </c>
      <c r="M70" s="21" t="s">
        <v>83</v>
      </c>
      <c r="N70" s="32">
        <v>506011.52</v>
      </c>
      <c r="O70" s="21" t="s">
        <v>150</v>
      </c>
      <c r="P70" s="21" t="str">
        <f t="shared" si="6"/>
        <v>2023-12</v>
      </c>
      <c r="Q70" s="21">
        <f t="shared" si="7"/>
        <v>2023</v>
      </c>
      <c r="R70" s="34">
        <f t="shared" si="8"/>
        <v>45261</v>
      </c>
      <c r="S70" s="21">
        <f t="shared" si="9"/>
        <v>0</v>
      </c>
      <c r="T70" s="21" t="str">
        <f t="shared" si="10"/>
        <v>Digital</v>
      </c>
      <c r="U70" s="21" t="str">
        <f t="shared" si="11"/>
        <v>One-Time</v>
      </c>
    </row>
    <row r="71" spans="1:21" x14ac:dyDescent="0.3">
      <c r="A71" s="21" t="s">
        <v>380</v>
      </c>
      <c r="B71" s="21">
        <v>910508</v>
      </c>
      <c r="C71" s="21" t="s">
        <v>381</v>
      </c>
      <c r="D71" s="21" t="s">
        <v>382</v>
      </c>
      <c r="E71" s="21" t="s">
        <v>61</v>
      </c>
      <c r="F71" s="21" t="s">
        <v>195</v>
      </c>
      <c r="G71" s="21" t="s">
        <v>116</v>
      </c>
      <c r="H71" s="21" t="s">
        <v>87</v>
      </c>
      <c r="I71" s="21" t="s">
        <v>77</v>
      </c>
      <c r="J71" s="32">
        <v>2142.71</v>
      </c>
      <c r="K71" s="21" t="s">
        <v>68</v>
      </c>
      <c r="L71" s="33">
        <v>45453</v>
      </c>
      <c r="M71" s="21" t="s">
        <v>80</v>
      </c>
      <c r="N71" s="32">
        <v>175635.71</v>
      </c>
      <c r="O71" s="21" t="s">
        <v>150</v>
      </c>
      <c r="P71" s="21" t="str">
        <f t="shared" si="6"/>
        <v>2024-06</v>
      </c>
      <c r="Q71" s="21">
        <f t="shared" si="7"/>
        <v>2024</v>
      </c>
      <c r="R71" s="34">
        <f t="shared" si="8"/>
        <v>45444</v>
      </c>
      <c r="S71" s="21">
        <f t="shared" si="9"/>
        <v>0</v>
      </c>
      <c r="T71" s="21" t="str">
        <f t="shared" si="10"/>
        <v>Digital</v>
      </c>
      <c r="U71" s="21" t="str">
        <f t="shared" si="11"/>
        <v>One-Time</v>
      </c>
    </row>
    <row r="72" spans="1:21" x14ac:dyDescent="0.3">
      <c r="A72" s="21" t="s">
        <v>383</v>
      </c>
      <c r="B72" s="21">
        <v>651220</v>
      </c>
      <c r="C72" s="21" t="s">
        <v>384</v>
      </c>
      <c r="D72" s="21" t="s">
        <v>385</v>
      </c>
      <c r="E72" s="21" t="s">
        <v>61</v>
      </c>
      <c r="F72" s="21" t="s">
        <v>154</v>
      </c>
      <c r="G72" s="21" t="s">
        <v>122</v>
      </c>
      <c r="H72" s="21" t="s">
        <v>87</v>
      </c>
      <c r="I72" s="21" t="s">
        <v>77</v>
      </c>
      <c r="J72" s="32">
        <v>126982.03</v>
      </c>
      <c r="K72" s="21" t="s">
        <v>72</v>
      </c>
      <c r="L72" s="33">
        <v>45710</v>
      </c>
      <c r="M72" s="21" t="s">
        <v>80</v>
      </c>
      <c r="N72" s="32">
        <v>579930.85</v>
      </c>
      <c r="O72" s="21" t="s">
        <v>150</v>
      </c>
      <c r="P72" s="21" t="str">
        <f t="shared" si="6"/>
        <v>2025-02</v>
      </c>
      <c r="Q72" s="21">
        <f t="shared" si="7"/>
        <v>2025</v>
      </c>
      <c r="R72" s="34">
        <f t="shared" si="8"/>
        <v>45689</v>
      </c>
      <c r="S72" s="21">
        <f t="shared" si="9"/>
        <v>0</v>
      </c>
      <c r="T72" s="21" t="str">
        <f t="shared" si="10"/>
        <v>Cash-Based</v>
      </c>
      <c r="U72" s="21" t="str">
        <f t="shared" si="11"/>
        <v>One-Time</v>
      </c>
    </row>
    <row r="73" spans="1:21" x14ac:dyDescent="0.3">
      <c r="A73" s="21" t="s">
        <v>386</v>
      </c>
      <c r="B73" s="21">
        <v>820049</v>
      </c>
      <c r="C73" s="21" t="s">
        <v>387</v>
      </c>
      <c r="D73" s="21" t="s">
        <v>388</v>
      </c>
      <c r="E73" s="21" t="s">
        <v>64</v>
      </c>
      <c r="F73" s="21" t="s">
        <v>262</v>
      </c>
      <c r="G73" s="21" t="s">
        <v>131</v>
      </c>
      <c r="H73" s="21" t="s">
        <v>87</v>
      </c>
      <c r="I73" s="21" t="s">
        <v>76</v>
      </c>
      <c r="J73" s="32">
        <v>42148.13</v>
      </c>
      <c r="K73" s="21" t="s">
        <v>69</v>
      </c>
      <c r="L73" s="33">
        <v>45601</v>
      </c>
      <c r="M73" s="21" t="s">
        <v>80</v>
      </c>
      <c r="N73" s="32">
        <v>2030256.51</v>
      </c>
      <c r="O73" s="21" t="s">
        <v>150</v>
      </c>
      <c r="P73" s="21" t="str">
        <f t="shared" si="6"/>
        <v>2024-11</v>
      </c>
      <c r="Q73" s="21">
        <f t="shared" si="7"/>
        <v>2024</v>
      </c>
      <c r="R73" s="34">
        <f t="shared" si="8"/>
        <v>45597</v>
      </c>
      <c r="S73" s="21">
        <f t="shared" si="9"/>
        <v>0</v>
      </c>
      <c r="T73" s="21" t="str">
        <f t="shared" si="10"/>
        <v>Card-Based</v>
      </c>
      <c r="U73" s="21" t="str">
        <f t="shared" si="11"/>
        <v>One-Time</v>
      </c>
    </row>
    <row r="74" spans="1:21" x14ac:dyDescent="0.3">
      <c r="A74" s="21" t="s">
        <v>389</v>
      </c>
      <c r="B74" s="21">
        <v>679021</v>
      </c>
      <c r="C74" s="21" t="s">
        <v>390</v>
      </c>
      <c r="D74" s="21" t="s">
        <v>391</v>
      </c>
      <c r="E74" s="21" t="s">
        <v>64</v>
      </c>
      <c r="F74" s="21" t="s">
        <v>188</v>
      </c>
      <c r="G74" s="21" t="s">
        <v>112</v>
      </c>
      <c r="H74" s="21" t="s">
        <v>88</v>
      </c>
      <c r="I74" s="21" t="s">
        <v>76</v>
      </c>
      <c r="J74" s="32">
        <v>394326.09</v>
      </c>
      <c r="K74" s="21" t="s">
        <v>68</v>
      </c>
      <c r="L74" s="33">
        <v>45222</v>
      </c>
      <c r="M74" s="21" t="s">
        <v>80</v>
      </c>
      <c r="N74" s="32">
        <v>1896600.3</v>
      </c>
      <c r="O74" s="21" t="s">
        <v>150</v>
      </c>
      <c r="P74" s="21" t="str">
        <f t="shared" si="6"/>
        <v>2023-10</v>
      </c>
      <c r="Q74" s="21">
        <f t="shared" si="7"/>
        <v>2023</v>
      </c>
      <c r="R74" s="34">
        <f t="shared" si="8"/>
        <v>45200</v>
      </c>
      <c r="S74" s="21">
        <f t="shared" si="9"/>
        <v>0</v>
      </c>
      <c r="T74" s="21" t="str">
        <f t="shared" si="10"/>
        <v>Digital</v>
      </c>
      <c r="U74" s="21" t="str">
        <f t="shared" si="11"/>
        <v>One-Time</v>
      </c>
    </row>
    <row r="75" spans="1:21" x14ac:dyDescent="0.3">
      <c r="A75" s="21" t="s">
        <v>392</v>
      </c>
      <c r="B75" s="21">
        <v>256851</v>
      </c>
      <c r="C75" s="21" t="s">
        <v>393</v>
      </c>
      <c r="D75" s="21" t="s">
        <v>394</v>
      </c>
      <c r="E75" s="21" t="s">
        <v>63</v>
      </c>
      <c r="F75" s="21" t="s">
        <v>255</v>
      </c>
      <c r="G75" s="21" t="s">
        <v>115</v>
      </c>
      <c r="H75" s="21" t="s">
        <v>86</v>
      </c>
      <c r="I75" s="21" t="s">
        <v>77</v>
      </c>
      <c r="J75" s="32">
        <v>111775.28</v>
      </c>
      <c r="K75" s="21" t="s">
        <v>72</v>
      </c>
      <c r="L75" s="33">
        <v>45529</v>
      </c>
      <c r="M75" s="21" t="s">
        <v>83</v>
      </c>
      <c r="N75" s="32">
        <v>1569398.54</v>
      </c>
      <c r="O75" s="21" t="s">
        <v>150</v>
      </c>
      <c r="P75" s="21" t="str">
        <f t="shared" si="6"/>
        <v>2024-08</v>
      </c>
      <c r="Q75" s="21">
        <f t="shared" si="7"/>
        <v>2024</v>
      </c>
      <c r="R75" s="34">
        <f t="shared" si="8"/>
        <v>45505</v>
      </c>
      <c r="S75" s="21">
        <f t="shared" si="9"/>
        <v>0</v>
      </c>
      <c r="T75" s="21" t="str">
        <f t="shared" si="10"/>
        <v>Cash-Based</v>
      </c>
      <c r="U75" s="21" t="str">
        <f t="shared" si="11"/>
        <v>One-Time</v>
      </c>
    </row>
    <row r="76" spans="1:21" x14ac:dyDescent="0.3">
      <c r="A76" s="21" t="s">
        <v>395</v>
      </c>
      <c r="B76" s="21">
        <v>761621</v>
      </c>
      <c r="C76" s="21" t="s">
        <v>396</v>
      </c>
      <c r="D76" s="21" t="s">
        <v>397</v>
      </c>
      <c r="E76" s="21" t="s">
        <v>64</v>
      </c>
      <c r="F76" s="21" t="s">
        <v>177</v>
      </c>
      <c r="G76" s="21" t="s">
        <v>113</v>
      </c>
      <c r="H76" s="21" t="s">
        <v>87</v>
      </c>
      <c r="I76" s="21" t="s">
        <v>75</v>
      </c>
      <c r="J76" s="32">
        <v>108963.54</v>
      </c>
      <c r="K76" s="21" t="s">
        <v>70</v>
      </c>
      <c r="L76" s="33">
        <v>45761</v>
      </c>
      <c r="M76" s="21" t="s">
        <v>80</v>
      </c>
      <c r="N76" s="32">
        <v>222485.48</v>
      </c>
      <c r="O76" s="21" t="s">
        <v>150</v>
      </c>
      <c r="P76" s="21" t="str">
        <f t="shared" si="6"/>
        <v>2025-04</v>
      </c>
      <c r="Q76" s="21">
        <f t="shared" si="7"/>
        <v>2025</v>
      </c>
      <c r="R76" s="34">
        <f t="shared" si="8"/>
        <v>45748</v>
      </c>
      <c r="S76" s="21">
        <f t="shared" si="9"/>
        <v>0</v>
      </c>
      <c r="T76" s="21" t="str">
        <f t="shared" si="10"/>
        <v>Card-Based</v>
      </c>
      <c r="U76" s="21" t="str">
        <f t="shared" si="11"/>
        <v>One-Time</v>
      </c>
    </row>
    <row r="77" spans="1:21" x14ac:dyDescent="0.3">
      <c r="A77" s="21" t="s">
        <v>398</v>
      </c>
      <c r="B77" s="21">
        <v>615769</v>
      </c>
      <c r="C77" s="21" t="s">
        <v>399</v>
      </c>
      <c r="D77" s="21" t="s">
        <v>400</v>
      </c>
      <c r="E77" s="21" t="s">
        <v>63</v>
      </c>
      <c r="F77" s="21" t="s">
        <v>293</v>
      </c>
      <c r="G77" s="21" t="s">
        <v>126</v>
      </c>
      <c r="H77" s="21" t="s">
        <v>89</v>
      </c>
      <c r="I77" s="21" t="s">
        <v>76</v>
      </c>
      <c r="J77" s="32">
        <v>5467.69</v>
      </c>
      <c r="K77" s="21" t="s">
        <v>71</v>
      </c>
      <c r="L77" s="33">
        <v>45518</v>
      </c>
      <c r="M77" s="21" t="s">
        <v>80</v>
      </c>
      <c r="N77" s="32">
        <v>300060.15000000002</v>
      </c>
      <c r="O77" s="21" t="s">
        <v>150</v>
      </c>
      <c r="P77" s="21" t="str">
        <f t="shared" si="6"/>
        <v>2024-08</v>
      </c>
      <c r="Q77" s="21">
        <f t="shared" si="7"/>
        <v>2024</v>
      </c>
      <c r="R77" s="34">
        <f t="shared" si="8"/>
        <v>45505</v>
      </c>
      <c r="S77" s="21">
        <f t="shared" si="9"/>
        <v>0</v>
      </c>
      <c r="T77" s="21" t="str">
        <f t="shared" si="10"/>
        <v>Digital</v>
      </c>
      <c r="U77" s="21" t="str">
        <f t="shared" si="11"/>
        <v>One-Time</v>
      </c>
    </row>
    <row r="78" spans="1:21" x14ac:dyDescent="0.3">
      <c r="A78" s="21" t="s">
        <v>401</v>
      </c>
      <c r="B78" s="21">
        <v>964477</v>
      </c>
      <c r="C78" s="21" t="s">
        <v>402</v>
      </c>
      <c r="D78" s="21" t="s">
        <v>403</v>
      </c>
      <c r="E78" s="21" t="s">
        <v>62</v>
      </c>
      <c r="F78" s="21" t="s">
        <v>275</v>
      </c>
      <c r="G78" s="21" t="s">
        <v>109</v>
      </c>
      <c r="H78" s="21" t="s">
        <v>87</v>
      </c>
      <c r="I78" s="21" t="s">
        <v>75</v>
      </c>
      <c r="J78" s="32">
        <v>77594.36</v>
      </c>
      <c r="K78" s="21" t="s">
        <v>68</v>
      </c>
      <c r="L78" s="33">
        <v>45170</v>
      </c>
      <c r="M78" s="21" t="s">
        <v>80</v>
      </c>
      <c r="N78" s="32">
        <v>1469822.53</v>
      </c>
      <c r="O78" s="21" t="s">
        <v>150</v>
      </c>
      <c r="P78" s="21" t="str">
        <f t="shared" si="6"/>
        <v>2023-09</v>
      </c>
      <c r="Q78" s="21">
        <f t="shared" si="7"/>
        <v>2023</v>
      </c>
      <c r="R78" s="34">
        <f t="shared" si="8"/>
        <v>45170</v>
      </c>
      <c r="S78" s="21">
        <f t="shared" si="9"/>
        <v>0</v>
      </c>
      <c r="T78" s="21" t="str">
        <f t="shared" si="10"/>
        <v>Digital</v>
      </c>
      <c r="U78" s="21" t="str">
        <f t="shared" si="11"/>
        <v>One-Time</v>
      </c>
    </row>
    <row r="79" spans="1:21" x14ac:dyDescent="0.3">
      <c r="A79" s="21" t="s">
        <v>404</v>
      </c>
      <c r="B79" s="21">
        <v>619316</v>
      </c>
      <c r="C79" s="21" t="s">
        <v>405</v>
      </c>
      <c r="D79" s="21" t="s">
        <v>406</v>
      </c>
      <c r="E79" s="21" t="s">
        <v>60</v>
      </c>
      <c r="F79" s="21" t="s">
        <v>149</v>
      </c>
      <c r="G79" s="21" t="s">
        <v>119</v>
      </c>
      <c r="H79" s="21" t="s">
        <v>86</v>
      </c>
      <c r="I79" s="21" t="s">
        <v>77</v>
      </c>
      <c r="J79" s="32">
        <v>130332.95</v>
      </c>
      <c r="K79" s="21" t="s">
        <v>72</v>
      </c>
      <c r="L79" s="33">
        <v>45250</v>
      </c>
      <c r="M79" s="21" t="s">
        <v>80</v>
      </c>
      <c r="N79" s="32">
        <v>202394.12</v>
      </c>
      <c r="O79" s="21" t="s">
        <v>150</v>
      </c>
      <c r="P79" s="21" t="str">
        <f t="shared" si="6"/>
        <v>2023-11</v>
      </c>
      <c r="Q79" s="21">
        <f t="shared" si="7"/>
        <v>2023</v>
      </c>
      <c r="R79" s="34">
        <f t="shared" si="8"/>
        <v>45231</v>
      </c>
      <c r="S79" s="21">
        <f t="shared" si="9"/>
        <v>0</v>
      </c>
      <c r="T79" s="21" t="str">
        <f t="shared" si="10"/>
        <v>Cash-Based</v>
      </c>
      <c r="U79" s="21" t="str">
        <f t="shared" si="11"/>
        <v>One-Time</v>
      </c>
    </row>
    <row r="80" spans="1:21" x14ac:dyDescent="0.3">
      <c r="A80" s="21" t="s">
        <v>407</v>
      </c>
      <c r="B80" s="21">
        <v>258410</v>
      </c>
      <c r="C80" s="21" t="s">
        <v>408</v>
      </c>
      <c r="D80" s="21" t="s">
        <v>409</v>
      </c>
      <c r="E80" s="21" t="s">
        <v>60</v>
      </c>
      <c r="F80" s="21" t="s">
        <v>203</v>
      </c>
      <c r="G80" s="21" t="s">
        <v>128</v>
      </c>
      <c r="H80" s="21" t="s">
        <v>89</v>
      </c>
      <c r="I80" s="21" t="s">
        <v>76</v>
      </c>
      <c r="J80" s="32">
        <v>431597.82</v>
      </c>
      <c r="K80" s="21" t="s">
        <v>68</v>
      </c>
      <c r="L80" s="33">
        <v>45281</v>
      </c>
      <c r="M80" s="21" t="s">
        <v>80</v>
      </c>
      <c r="N80" s="32">
        <v>2153343.14</v>
      </c>
      <c r="O80" s="21" t="s">
        <v>150</v>
      </c>
      <c r="P80" s="21" t="str">
        <f t="shared" si="6"/>
        <v>2023-12</v>
      </c>
      <c r="Q80" s="21">
        <f t="shared" si="7"/>
        <v>2023</v>
      </c>
      <c r="R80" s="34">
        <f t="shared" si="8"/>
        <v>45261</v>
      </c>
      <c r="S80" s="21">
        <f t="shared" si="9"/>
        <v>0</v>
      </c>
      <c r="T80" s="21" t="str">
        <f t="shared" si="10"/>
        <v>Digital</v>
      </c>
      <c r="U80" s="21" t="str">
        <f t="shared" si="11"/>
        <v>One-Time</v>
      </c>
    </row>
    <row r="81" spans="1:21" x14ac:dyDescent="0.3">
      <c r="A81" s="21" t="s">
        <v>410</v>
      </c>
      <c r="B81" s="21">
        <v>683367</v>
      </c>
      <c r="C81" s="21" t="s">
        <v>411</v>
      </c>
      <c r="D81" s="21" t="s">
        <v>412</v>
      </c>
      <c r="E81" s="21" t="s">
        <v>63</v>
      </c>
      <c r="F81" s="21" t="s">
        <v>255</v>
      </c>
      <c r="G81" s="21" t="s">
        <v>115</v>
      </c>
      <c r="H81" s="21" t="s">
        <v>89</v>
      </c>
      <c r="I81" s="21" t="s">
        <v>78</v>
      </c>
      <c r="J81" s="32">
        <v>329340.40999999997</v>
      </c>
      <c r="K81" s="21" t="s">
        <v>70</v>
      </c>
      <c r="L81" s="33">
        <v>45245</v>
      </c>
      <c r="M81" s="21" t="s">
        <v>80</v>
      </c>
      <c r="N81" s="32">
        <v>1368075.07</v>
      </c>
      <c r="O81" s="21" t="s">
        <v>150</v>
      </c>
      <c r="P81" s="21" t="str">
        <f t="shared" si="6"/>
        <v>2023-11</v>
      </c>
      <c r="Q81" s="21">
        <f t="shared" si="7"/>
        <v>2023</v>
      </c>
      <c r="R81" s="34">
        <f t="shared" si="8"/>
        <v>45231</v>
      </c>
      <c r="S81" s="21">
        <f t="shared" si="9"/>
        <v>0</v>
      </c>
      <c r="T81" s="21" t="str">
        <f t="shared" si="10"/>
        <v>Card-Based</v>
      </c>
      <c r="U81" s="21" t="str">
        <f t="shared" si="11"/>
        <v>One-Time</v>
      </c>
    </row>
    <row r="82" spans="1:21" x14ac:dyDescent="0.3">
      <c r="A82" s="21" t="s">
        <v>413</v>
      </c>
      <c r="B82" s="21">
        <v>685188</v>
      </c>
      <c r="C82" s="21" t="s">
        <v>414</v>
      </c>
      <c r="D82" s="21" t="s">
        <v>415</v>
      </c>
      <c r="E82" s="21" t="s">
        <v>63</v>
      </c>
      <c r="F82" s="21" t="s">
        <v>227</v>
      </c>
      <c r="G82" s="21" t="s">
        <v>118</v>
      </c>
      <c r="H82" s="21" t="s">
        <v>89</v>
      </c>
      <c r="I82" s="21" t="s">
        <v>75</v>
      </c>
      <c r="J82" s="32">
        <v>230671.33</v>
      </c>
      <c r="K82" s="21" t="s">
        <v>72</v>
      </c>
      <c r="L82" s="33">
        <v>45732</v>
      </c>
      <c r="M82" s="21" t="s">
        <v>80</v>
      </c>
      <c r="N82" s="32">
        <v>793311.08</v>
      </c>
      <c r="O82" s="21" t="s">
        <v>150</v>
      </c>
      <c r="P82" s="21" t="str">
        <f t="shared" si="6"/>
        <v>2025-03</v>
      </c>
      <c r="Q82" s="21">
        <f t="shared" si="7"/>
        <v>2025</v>
      </c>
      <c r="R82" s="34">
        <f t="shared" si="8"/>
        <v>45717</v>
      </c>
      <c r="S82" s="21">
        <f t="shared" si="9"/>
        <v>0</v>
      </c>
      <c r="T82" s="21" t="str">
        <f t="shared" si="10"/>
        <v>Cash-Based</v>
      </c>
      <c r="U82" s="21" t="str">
        <f t="shared" si="11"/>
        <v>One-Time</v>
      </c>
    </row>
    <row r="83" spans="1:21" x14ac:dyDescent="0.3">
      <c r="A83" s="21" t="s">
        <v>416</v>
      </c>
      <c r="B83" s="21">
        <v>861387</v>
      </c>
      <c r="C83" s="21" t="s">
        <v>417</v>
      </c>
      <c r="D83" s="21" t="s">
        <v>418</v>
      </c>
      <c r="E83" s="21" t="s">
        <v>64</v>
      </c>
      <c r="F83" s="21" t="s">
        <v>188</v>
      </c>
      <c r="G83" s="21" t="s">
        <v>112</v>
      </c>
      <c r="H83" s="21" t="s">
        <v>87</v>
      </c>
      <c r="I83" s="21" t="s">
        <v>75</v>
      </c>
      <c r="J83" s="32">
        <v>151847.43</v>
      </c>
      <c r="K83" s="21" t="s">
        <v>72</v>
      </c>
      <c r="L83" s="33">
        <v>45408</v>
      </c>
      <c r="M83" s="21" t="s">
        <v>82</v>
      </c>
      <c r="N83" s="32">
        <v>245310.82</v>
      </c>
      <c r="O83" s="21" t="s">
        <v>150</v>
      </c>
      <c r="P83" s="21" t="str">
        <f t="shared" si="6"/>
        <v>2024-04</v>
      </c>
      <c r="Q83" s="21">
        <f t="shared" si="7"/>
        <v>2024</v>
      </c>
      <c r="R83" s="34">
        <f t="shared" si="8"/>
        <v>45383</v>
      </c>
      <c r="S83" s="21">
        <f t="shared" si="9"/>
        <v>0</v>
      </c>
      <c r="T83" s="21" t="str">
        <f t="shared" si="10"/>
        <v>Cash-Based</v>
      </c>
      <c r="U83" s="21" t="str">
        <f t="shared" si="11"/>
        <v>One-Time</v>
      </c>
    </row>
    <row r="84" spans="1:21" x14ac:dyDescent="0.3">
      <c r="A84" s="21" t="s">
        <v>419</v>
      </c>
      <c r="B84" s="21">
        <v>294793</v>
      </c>
      <c r="C84" s="21" t="s">
        <v>420</v>
      </c>
      <c r="D84" s="21" t="s">
        <v>421</v>
      </c>
      <c r="E84" s="21" t="s">
        <v>62</v>
      </c>
      <c r="F84" s="21" t="s">
        <v>275</v>
      </c>
      <c r="G84" s="21" t="s">
        <v>109</v>
      </c>
      <c r="H84" s="21" t="s">
        <v>88</v>
      </c>
      <c r="I84" s="21" t="s">
        <v>75</v>
      </c>
      <c r="J84" s="32">
        <v>43912.42</v>
      </c>
      <c r="K84" s="21" t="s">
        <v>68</v>
      </c>
      <c r="L84" s="33">
        <v>45768</v>
      </c>
      <c r="M84" s="21" t="s">
        <v>80</v>
      </c>
      <c r="N84" s="32">
        <v>720514.71</v>
      </c>
      <c r="O84" s="21" t="s">
        <v>150</v>
      </c>
      <c r="P84" s="21" t="str">
        <f t="shared" si="6"/>
        <v>2025-04</v>
      </c>
      <c r="Q84" s="21">
        <f t="shared" si="7"/>
        <v>2025</v>
      </c>
      <c r="R84" s="34">
        <f t="shared" si="8"/>
        <v>45748</v>
      </c>
      <c r="S84" s="21">
        <f t="shared" si="9"/>
        <v>0</v>
      </c>
      <c r="T84" s="21" t="str">
        <f t="shared" si="10"/>
        <v>Digital</v>
      </c>
      <c r="U84" s="21" t="str">
        <f t="shared" si="11"/>
        <v>One-Time</v>
      </c>
    </row>
    <row r="85" spans="1:21" x14ac:dyDescent="0.3">
      <c r="A85" s="21" t="s">
        <v>422</v>
      </c>
      <c r="B85" s="21">
        <v>163591</v>
      </c>
      <c r="C85" s="21" t="s">
        <v>423</v>
      </c>
      <c r="D85" s="21" t="s">
        <v>424</v>
      </c>
      <c r="E85" s="21" t="s">
        <v>62</v>
      </c>
      <c r="F85" s="21" t="s">
        <v>310</v>
      </c>
      <c r="G85" s="21" t="s">
        <v>110</v>
      </c>
      <c r="H85" s="21" t="s">
        <v>88</v>
      </c>
      <c r="I85" s="21" t="s">
        <v>75</v>
      </c>
      <c r="J85" s="32">
        <v>259387.62</v>
      </c>
      <c r="K85" s="21" t="s">
        <v>71</v>
      </c>
      <c r="L85" s="33">
        <v>45280</v>
      </c>
      <c r="M85" s="21" t="s">
        <v>80</v>
      </c>
      <c r="N85" s="32">
        <v>1341143.01</v>
      </c>
      <c r="O85" s="21" t="s">
        <v>150</v>
      </c>
      <c r="P85" s="21" t="str">
        <f t="shared" si="6"/>
        <v>2023-12</v>
      </c>
      <c r="Q85" s="21">
        <f t="shared" si="7"/>
        <v>2023</v>
      </c>
      <c r="R85" s="34">
        <f t="shared" si="8"/>
        <v>45261</v>
      </c>
      <c r="S85" s="21">
        <f t="shared" si="9"/>
        <v>0</v>
      </c>
      <c r="T85" s="21" t="str">
        <f t="shared" si="10"/>
        <v>Digital</v>
      </c>
      <c r="U85" s="21" t="str">
        <f t="shared" si="11"/>
        <v>One-Time</v>
      </c>
    </row>
    <row r="86" spans="1:21" x14ac:dyDescent="0.3">
      <c r="A86" s="21" t="s">
        <v>425</v>
      </c>
      <c r="B86" s="21">
        <v>999369</v>
      </c>
      <c r="C86" s="21" t="s">
        <v>426</v>
      </c>
      <c r="D86" s="21" t="s">
        <v>427</v>
      </c>
      <c r="E86" s="21" t="s">
        <v>64</v>
      </c>
      <c r="F86" s="21" t="s">
        <v>188</v>
      </c>
      <c r="G86" s="21" t="s">
        <v>112</v>
      </c>
      <c r="H86" s="21" t="s">
        <v>87</v>
      </c>
      <c r="I86" s="21" t="s">
        <v>77</v>
      </c>
      <c r="J86" s="32">
        <v>113984.02</v>
      </c>
      <c r="K86" s="21" t="s">
        <v>69</v>
      </c>
      <c r="L86" s="33">
        <v>45567</v>
      </c>
      <c r="M86" s="21" t="s">
        <v>80</v>
      </c>
      <c r="N86" s="32">
        <v>1568873.7</v>
      </c>
      <c r="O86" s="21" t="s">
        <v>311</v>
      </c>
      <c r="P86" s="21" t="str">
        <f t="shared" si="6"/>
        <v>2024-10</v>
      </c>
      <c r="Q86" s="21">
        <f t="shared" si="7"/>
        <v>2024</v>
      </c>
      <c r="R86" s="34">
        <f t="shared" si="8"/>
        <v>45566</v>
      </c>
      <c r="S86" s="21">
        <f t="shared" si="9"/>
        <v>1</v>
      </c>
      <c r="T86" s="21" t="str">
        <f t="shared" si="10"/>
        <v>Card-Based</v>
      </c>
      <c r="U86" s="21" t="str">
        <f t="shared" si="11"/>
        <v>One-Time</v>
      </c>
    </row>
    <row r="87" spans="1:21" x14ac:dyDescent="0.3">
      <c r="A87" s="21" t="s">
        <v>428</v>
      </c>
      <c r="B87" s="21">
        <v>436075</v>
      </c>
      <c r="C87" s="21" t="s">
        <v>429</v>
      </c>
      <c r="D87" s="21" t="s">
        <v>430</v>
      </c>
      <c r="E87" s="21" t="s">
        <v>61</v>
      </c>
      <c r="F87" s="21" t="s">
        <v>154</v>
      </c>
      <c r="G87" s="21" t="s">
        <v>122</v>
      </c>
      <c r="H87" s="21" t="s">
        <v>89</v>
      </c>
      <c r="I87" s="21" t="s">
        <v>76</v>
      </c>
      <c r="J87" s="32">
        <v>25673.64</v>
      </c>
      <c r="K87" s="21" t="s">
        <v>71</v>
      </c>
      <c r="L87" s="33">
        <v>45475</v>
      </c>
      <c r="M87" s="21" t="s">
        <v>80</v>
      </c>
      <c r="N87" s="32">
        <v>231828.22</v>
      </c>
      <c r="O87" s="21" t="s">
        <v>150</v>
      </c>
      <c r="P87" s="21" t="str">
        <f t="shared" si="6"/>
        <v>2024-07</v>
      </c>
      <c r="Q87" s="21">
        <f t="shared" si="7"/>
        <v>2024</v>
      </c>
      <c r="R87" s="34">
        <f t="shared" si="8"/>
        <v>45474</v>
      </c>
      <c r="S87" s="21">
        <f t="shared" si="9"/>
        <v>0</v>
      </c>
      <c r="T87" s="21" t="str">
        <f t="shared" si="10"/>
        <v>Digital</v>
      </c>
      <c r="U87" s="21" t="str">
        <f t="shared" si="11"/>
        <v>One-Time</v>
      </c>
    </row>
    <row r="88" spans="1:21" x14ac:dyDescent="0.3">
      <c r="A88" s="21" t="s">
        <v>431</v>
      </c>
      <c r="B88" s="21">
        <v>246445</v>
      </c>
      <c r="C88" s="21" t="s">
        <v>432</v>
      </c>
      <c r="D88" s="21" t="s">
        <v>433</v>
      </c>
      <c r="E88" s="21" t="s">
        <v>64</v>
      </c>
      <c r="F88" s="21" t="s">
        <v>158</v>
      </c>
      <c r="G88" s="21" t="s">
        <v>108</v>
      </c>
      <c r="H88" s="21" t="s">
        <v>87</v>
      </c>
      <c r="I88" s="21" t="s">
        <v>76</v>
      </c>
      <c r="J88" s="32">
        <v>373738.22</v>
      </c>
      <c r="K88" s="21" t="s">
        <v>68</v>
      </c>
      <c r="L88" s="33">
        <v>45773</v>
      </c>
      <c r="M88" s="21" t="s">
        <v>80</v>
      </c>
      <c r="N88" s="32">
        <v>759841.92</v>
      </c>
      <c r="O88" s="21" t="s">
        <v>150</v>
      </c>
      <c r="P88" s="21" t="str">
        <f t="shared" si="6"/>
        <v>2025-04</v>
      </c>
      <c r="Q88" s="21">
        <f t="shared" si="7"/>
        <v>2025</v>
      </c>
      <c r="R88" s="34">
        <f t="shared" si="8"/>
        <v>45748</v>
      </c>
      <c r="S88" s="21">
        <f t="shared" si="9"/>
        <v>0</v>
      </c>
      <c r="T88" s="21" t="str">
        <f t="shared" si="10"/>
        <v>Digital</v>
      </c>
      <c r="U88" s="21" t="str">
        <f t="shared" si="11"/>
        <v>One-Time</v>
      </c>
    </row>
    <row r="89" spans="1:21" x14ac:dyDescent="0.3">
      <c r="A89" s="21" t="s">
        <v>434</v>
      </c>
      <c r="B89" s="21">
        <v>649852</v>
      </c>
      <c r="C89" s="21" t="s">
        <v>435</v>
      </c>
      <c r="D89" s="21" t="s">
        <v>436</v>
      </c>
      <c r="E89" s="21" t="s">
        <v>61</v>
      </c>
      <c r="F89" s="21" t="s">
        <v>279</v>
      </c>
      <c r="G89" s="21" t="s">
        <v>125</v>
      </c>
      <c r="H89" s="21" t="s">
        <v>86</v>
      </c>
      <c r="I89" s="21" t="s">
        <v>76</v>
      </c>
      <c r="J89" s="32">
        <v>135613.45000000001</v>
      </c>
      <c r="K89" s="21" t="s">
        <v>69</v>
      </c>
      <c r="L89" s="33">
        <v>45708</v>
      </c>
      <c r="M89" s="21" t="s">
        <v>80</v>
      </c>
      <c r="N89" s="32">
        <v>1878459.02</v>
      </c>
      <c r="O89" s="21" t="s">
        <v>150</v>
      </c>
      <c r="P89" s="21" t="str">
        <f t="shared" si="6"/>
        <v>2025-02</v>
      </c>
      <c r="Q89" s="21">
        <f t="shared" si="7"/>
        <v>2025</v>
      </c>
      <c r="R89" s="34">
        <f t="shared" si="8"/>
        <v>45689</v>
      </c>
      <c r="S89" s="21">
        <f t="shared" si="9"/>
        <v>0</v>
      </c>
      <c r="T89" s="21" t="str">
        <f t="shared" si="10"/>
        <v>Card-Based</v>
      </c>
      <c r="U89" s="21" t="str">
        <f t="shared" si="11"/>
        <v>One-Time</v>
      </c>
    </row>
    <row r="90" spans="1:21" x14ac:dyDescent="0.3">
      <c r="A90" s="21" t="s">
        <v>437</v>
      </c>
      <c r="B90" s="21">
        <v>846632</v>
      </c>
      <c r="C90" s="21" t="s">
        <v>438</v>
      </c>
      <c r="D90" s="21" t="s">
        <v>439</v>
      </c>
      <c r="E90" s="21" t="s">
        <v>64</v>
      </c>
      <c r="F90" s="21" t="s">
        <v>262</v>
      </c>
      <c r="G90" s="21" t="s">
        <v>131</v>
      </c>
      <c r="H90" s="21" t="s">
        <v>89</v>
      </c>
      <c r="I90" s="21" t="s">
        <v>77</v>
      </c>
      <c r="J90" s="32">
        <v>135727.92000000001</v>
      </c>
      <c r="K90" s="21" t="s">
        <v>68</v>
      </c>
      <c r="L90" s="33">
        <v>45128</v>
      </c>
      <c r="M90" s="21" t="s">
        <v>80</v>
      </c>
      <c r="N90" s="32">
        <v>80849.75</v>
      </c>
      <c r="O90" s="21" t="s">
        <v>150</v>
      </c>
      <c r="P90" s="21" t="str">
        <f t="shared" si="6"/>
        <v>2023-07</v>
      </c>
      <c r="Q90" s="21">
        <f t="shared" si="7"/>
        <v>2023</v>
      </c>
      <c r="R90" s="34">
        <f t="shared" si="8"/>
        <v>45108</v>
      </c>
      <c r="S90" s="21">
        <f t="shared" si="9"/>
        <v>0</v>
      </c>
      <c r="T90" s="21" t="str">
        <f t="shared" si="10"/>
        <v>Digital</v>
      </c>
      <c r="U90" s="21" t="str">
        <f t="shared" si="11"/>
        <v>One-Time</v>
      </c>
    </row>
    <row r="91" spans="1:21" x14ac:dyDescent="0.3">
      <c r="A91" s="21" t="s">
        <v>440</v>
      </c>
      <c r="B91" s="21">
        <v>426604</v>
      </c>
      <c r="C91" s="21" t="s">
        <v>441</v>
      </c>
      <c r="D91" s="21" t="s">
        <v>442</v>
      </c>
      <c r="E91" s="21" t="s">
        <v>61</v>
      </c>
      <c r="F91" s="21" t="s">
        <v>154</v>
      </c>
      <c r="G91" s="21" t="s">
        <v>122</v>
      </c>
      <c r="H91" s="21" t="s">
        <v>88</v>
      </c>
      <c r="I91" s="21" t="s">
        <v>78</v>
      </c>
      <c r="J91" s="32">
        <v>181205.51</v>
      </c>
      <c r="K91" s="21" t="s">
        <v>72</v>
      </c>
      <c r="L91" s="33">
        <v>45779</v>
      </c>
      <c r="M91" s="21" t="s">
        <v>80</v>
      </c>
      <c r="N91" s="32">
        <v>2162794.13</v>
      </c>
      <c r="O91" s="21" t="s">
        <v>150</v>
      </c>
      <c r="P91" s="21" t="str">
        <f t="shared" si="6"/>
        <v>2025-05</v>
      </c>
      <c r="Q91" s="21">
        <f t="shared" si="7"/>
        <v>2025</v>
      </c>
      <c r="R91" s="34">
        <f t="shared" si="8"/>
        <v>45778</v>
      </c>
      <c r="S91" s="21">
        <f t="shared" si="9"/>
        <v>0</v>
      </c>
      <c r="T91" s="21" t="str">
        <f t="shared" si="10"/>
        <v>Cash-Based</v>
      </c>
      <c r="U91" s="21" t="str">
        <f t="shared" si="11"/>
        <v>One-Time</v>
      </c>
    </row>
    <row r="92" spans="1:21" x14ac:dyDescent="0.3">
      <c r="A92" s="21" t="s">
        <v>443</v>
      </c>
      <c r="B92" s="21">
        <v>944525</v>
      </c>
      <c r="C92" s="21" t="s">
        <v>444</v>
      </c>
      <c r="D92" s="21" t="s">
        <v>445</v>
      </c>
      <c r="E92" s="21" t="s">
        <v>62</v>
      </c>
      <c r="F92" s="21" t="s">
        <v>275</v>
      </c>
      <c r="G92" s="21" t="s">
        <v>109</v>
      </c>
      <c r="H92" s="21" t="s">
        <v>88</v>
      </c>
      <c r="I92" s="21" t="s">
        <v>75</v>
      </c>
      <c r="J92" s="32">
        <v>181990.14</v>
      </c>
      <c r="K92" s="21" t="s">
        <v>70</v>
      </c>
      <c r="L92" s="33">
        <v>45548</v>
      </c>
      <c r="M92" s="21" t="s">
        <v>80</v>
      </c>
      <c r="N92" s="32">
        <v>971684.35</v>
      </c>
      <c r="O92" s="21" t="s">
        <v>150</v>
      </c>
      <c r="P92" s="21" t="str">
        <f t="shared" si="6"/>
        <v>2024-09</v>
      </c>
      <c r="Q92" s="21">
        <f t="shared" si="7"/>
        <v>2024</v>
      </c>
      <c r="R92" s="34">
        <f t="shared" si="8"/>
        <v>45536</v>
      </c>
      <c r="S92" s="21">
        <f t="shared" si="9"/>
        <v>0</v>
      </c>
      <c r="T92" s="21" t="str">
        <f t="shared" si="10"/>
        <v>Card-Based</v>
      </c>
      <c r="U92" s="21" t="str">
        <f t="shared" si="11"/>
        <v>One-Time</v>
      </c>
    </row>
    <row r="93" spans="1:21" x14ac:dyDescent="0.3">
      <c r="A93" s="21" t="s">
        <v>446</v>
      </c>
      <c r="B93" s="21">
        <v>592501</v>
      </c>
      <c r="C93" s="21" t="s">
        <v>447</v>
      </c>
      <c r="D93" s="21" t="s">
        <v>448</v>
      </c>
      <c r="E93" s="21" t="s">
        <v>61</v>
      </c>
      <c r="F93" s="21" t="s">
        <v>279</v>
      </c>
      <c r="G93" s="21" t="s">
        <v>125</v>
      </c>
      <c r="H93" s="21" t="s">
        <v>87</v>
      </c>
      <c r="I93" s="21" t="s">
        <v>75</v>
      </c>
      <c r="J93" s="32">
        <v>156947.67000000001</v>
      </c>
      <c r="K93" s="21" t="s">
        <v>72</v>
      </c>
      <c r="L93" s="33">
        <v>45453</v>
      </c>
      <c r="M93" s="21" t="s">
        <v>80</v>
      </c>
      <c r="N93" s="32">
        <v>1603555.77</v>
      </c>
      <c r="O93" s="21" t="s">
        <v>150</v>
      </c>
      <c r="P93" s="21" t="str">
        <f t="shared" si="6"/>
        <v>2024-06</v>
      </c>
      <c r="Q93" s="21">
        <f t="shared" si="7"/>
        <v>2024</v>
      </c>
      <c r="R93" s="34">
        <f t="shared" si="8"/>
        <v>45444</v>
      </c>
      <c r="S93" s="21">
        <f t="shared" si="9"/>
        <v>0</v>
      </c>
      <c r="T93" s="21" t="str">
        <f t="shared" si="10"/>
        <v>Cash-Based</v>
      </c>
      <c r="U93" s="21" t="str">
        <f t="shared" si="11"/>
        <v>One-Time</v>
      </c>
    </row>
    <row r="94" spans="1:21" x14ac:dyDescent="0.3">
      <c r="A94" s="21" t="s">
        <v>449</v>
      </c>
      <c r="B94" s="21">
        <v>768984</v>
      </c>
      <c r="C94" s="21" t="s">
        <v>450</v>
      </c>
      <c r="D94" s="21" t="s">
        <v>451</v>
      </c>
      <c r="E94" s="21" t="s">
        <v>64</v>
      </c>
      <c r="F94" s="21" t="s">
        <v>188</v>
      </c>
      <c r="G94" s="21" t="s">
        <v>112</v>
      </c>
      <c r="H94" s="21" t="s">
        <v>89</v>
      </c>
      <c r="I94" s="21" t="s">
        <v>75</v>
      </c>
      <c r="J94" s="32">
        <v>229674.46</v>
      </c>
      <c r="K94" s="21" t="s">
        <v>72</v>
      </c>
      <c r="L94" s="33">
        <v>45329</v>
      </c>
      <c r="M94" s="21" t="s">
        <v>80</v>
      </c>
      <c r="N94" s="32">
        <v>853283.81</v>
      </c>
      <c r="O94" s="21" t="s">
        <v>150</v>
      </c>
      <c r="P94" s="21" t="str">
        <f t="shared" si="6"/>
        <v>2024-02</v>
      </c>
      <c r="Q94" s="21">
        <f t="shared" si="7"/>
        <v>2024</v>
      </c>
      <c r="R94" s="34">
        <f t="shared" si="8"/>
        <v>45323</v>
      </c>
      <c r="S94" s="21">
        <f t="shared" si="9"/>
        <v>0</v>
      </c>
      <c r="T94" s="21" t="str">
        <f t="shared" si="10"/>
        <v>Cash-Based</v>
      </c>
      <c r="U94" s="21" t="str">
        <f t="shared" si="11"/>
        <v>One-Time</v>
      </c>
    </row>
    <row r="95" spans="1:21" x14ac:dyDescent="0.3">
      <c r="A95" s="21" t="s">
        <v>452</v>
      </c>
      <c r="B95" s="21">
        <v>531859</v>
      </c>
      <c r="C95" s="21" t="s">
        <v>453</v>
      </c>
      <c r="D95" s="21" t="s">
        <v>454</v>
      </c>
      <c r="E95" s="21" t="s">
        <v>62</v>
      </c>
      <c r="F95" s="21" t="s">
        <v>310</v>
      </c>
      <c r="G95" s="21" t="s">
        <v>110</v>
      </c>
      <c r="H95" s="21" t="s">
        <v>86</v>
      </c>
      <c r="I95" s="21" t="s">
        <v>75</v>
      </c>
      <c r="J95" s="32">
        <v>190072.68</v>
      </c>
      <c r="K95" s="21" t="s">
        <v>71</v>
      </c>
      <c r="L95" s="33">
        <v>45394</v>
      </c>
      <c r="M95" s="21" t="s">
        <v>80</v>
      </c>
      <c r="N95" s="32">
        <v>899951.25</v>
      </c>
      <c r="O95" s="21" t="s">
        <v>150</v>
      </c>
      <c r="P95" s="21" t="str">
        <f t="shared" si="6"/>
        <v>2024-04</v>
      </c>
      <c r="Q95" s="21">
        <f t="shared" si="7"/>
        <v>2024</v>
      </c>
      <c r="R95" s="34">
        <f t="shared" si="8"/>
        <v>45383</v>
      </c>
      <c r="S95" s="21">
        <f t="shared" si="9"/>
        <v>0</v>
      </c>
      <c r="T95" s="21" t="str">
        <f t="shared" si="10"/>
        <v>Digital</v>
      </c>
      <c r="U95" s="21" t="str">
        <f t="shared" si="11"/>
        <v>One-Time</v>
      </c>
    </row>
    <row r="96" spans="1:21" x14ac:dyDescent="0.3">
      <c r="A96" s="21" t="s">
        <v>455</v>
      </c>
      <c r="B96" s="21">
        <v>405881</v>
      </c>
      <c r="C96" s="21" t="s">
        <v>456</v>
      </c>
      <c r="D96" s="21" t="s">
        <v>457</v>
      </c>
      <c r="E96" s="21" t="s">
        <v>62</v>
      </c>
      <c r="F96" s="21" t="s">
        <v>181</v>
      </c>
      <c r="G96" s="21" t="s">
        <v>123</v>
      </c>
      <c r="H96" s="21" t="s">
        <v>89</v>
      </c>
      <c r="I96" s="21" t="s">
        <v>77</v>
      </c>
      <c r="J96" s="32">
        <v>93038.6</v>
      </c>
      <c r="K96" s="21" t="s">
        <v>72</v>
      </c>
      <c r="L96" s="33">
        <v>45321</v>
      </c>
      <c r="M96" s="21" t="s">
        <v>80</v>
      </c>
      <c r="N96" s="32">
        <v>1330639.23</v>
      </c>
      <c r="O96" s="21" t="s">
        <v>150</v>
      </c>
      <c r="P96" s="21" t="str">
        <f t="shared" si="6"/>
        <v>2024-01</v>
      </c>
      <c r="Q96" s="21">
        <f t="shared" si="7"/>
        <v>2024</v>
      </c>
      <c r="R96" s="34">
        <f t="shared" si="8"/>
        <v>45292</v>
      </c>
      <c r="S96" s="21">
        <f t="shared" si="9"/>
        <v>0</v>
      </c>
      <c r="T96" s="21" t="str">
        <f t="shared" si="10"/>
        <v>Cash-Based</v>
      </c>
      <c r="U96" s="21" t="str">
        <f t="shared" si="11"/>
        <v>One-Time</v>
      </c>
    </row>
    <row r="97" spans="1:21" x14ac:dyDescent="0.3">
      <c r="A97" s="21" t="s">
        <v>458</v>
      </c>
      <c r="B97" s="21">
        <v>286469</v>
      </c>
      <c r="C97" s="21" t="s">
        <v>459</v>
      </c>
      <c r="D97" s="21" t="s">
        <v>460</v>
      </c>
      <c r="E97" s="21" t="s">
        <v>61</v>
      </c>
      <c r="F97" s="21" t="s">
        <v>364</v>
      </c>
      <c r="G97" s="21" t="s">
        <v>130</v>
      </c>
      <c r="H97" s="21" t="s">
        <v>89</v>
      </c>
      <c r="I97" s="21" t="s">
        <v>77</v>
      </c>
      <c r="J97" s="32">
        <v>111276.4</v>
      </c>
      <c r="K97" s="21" t="s">
        <v>68</v>
      </c>
      <c r="L97" s="33">
        <v>45299</v>
      </c>
      <c r="M97" s="21" t="s">
        <v>80</v>
      </c>
      <c r="N97" s="32">
        <v>1518701.76</v>
      </c>
      <c r="O97" s="21" t="s">
        <v>150</v>
      </c>
      <c r="P97" s="21" t="str">
        <f t="shared" si="6"/>
        <v>2024-01</v>
      </c>
      <c r="Q97" s="21">
        <f t="shared" si="7"/>
        <v>2024</v>
      </c>
      <c r="R97" s="34">
        <f t="shared" si="8"/>
        <v>45292</v>
      </c>
      <c r="S97" s="21">
        <f t="shared" si="9"/>
        <v>0</v>
      </c>
      <c r="T97" s="21" t="str">
        <f t="shared" si="10"/>
        <v>Digital</v>
      </c>
      <c r="U97" s="21" t="str">
        <f t="shared" si="11"/>
        <v>One-Time</v>
      </c>
    </row>
    <row r="98" spans="1:21" x14ac:dyDescent="0.3">
      <c r="A98" s="21" t="s">
        <v>461</v>
      </c>
      <c r="B98" s="21">
        <v>182726</v>
      </c>
      <c r="C98" s="21" t="s">
        <v>462</v>
      </c>
      <c r="D98" s="21" t="s">
        <v>463</v>
      </c>
      <c r="E98" s="21" t="s">
        <v>64</v>
      </c>
      <c r="F98" s="21" t="s">
        <v>158</v>
      </c>
      <c r="G98" s="21" t="s">
        <v>108</v>
      </c>
      <c r="H98" s="21" t="s">
        <v>87</v>
      </c>
      <c r="I98" s="21" t="s">
        <v>75</v>
      </c>
      <c r="J98" s="32">
        <v>191244.09</v>
      </c>
      <c r="K98" s="21" t="s">
        <v>72</v>
      </c>
      <c r="L98" s="33">
        <v>45248</v>
      </c>
      <c r="M98" s="21" t="s">
        <v>80</v>
      </c>
      <c r="N98" s="32">
        <v>318250.03999999998</v>
      </c>
      <c r="O98" s="21" t="s">
        <v>150</v>
      </c>
      <c r="P98" s="21" t="str">
        <f t="shared" si="6"/>
        <v>2023-11</v>
      </c>
      <c r="Q98" s="21">
        <f t="shared" si="7"/>
        <v>2023</v>
      </c>
      <c r="R98" s="34">
        <f t="shared" si="8"/>
        <v>45231</v>
      </c>
      <c r="S98" s="21">
        <f t="shared" si="9"/>
        <v>0</v>
      </c>
      <c r="T98" s="21" t="str">
        <f t="shared" si="10"/>
        <v>Cash-Based</v>
      </c>
      <c r="U98" s="21" t="str">
        <f t="shared" si="11"/>
        <v>One-Time</v>
      </c>
    </row>
    <row r="99" spans="1:21" x14ac:dyDescent="0.3">
      <c r="A99" s="21" t="s">
        <v>464</v>
      </c>
      <c r="B99" s="21">
        <v>584031</v>
      </c>
      <c r="C99" s="21" t="s">
        <v>465</v>
      </c>
      <c r="D99" s="21" t="s">
        <v>466</v>
      </c>
      <c r="E99" s="21" t="s">
        <v>60</v>
      </c>
      <c r="F99" s="21" t="s">
        <v>166</v>
      </c>
      <c r="G99" s="21" t="s">
        <v>107</v>
      </c>
      <c r="H99" s="21" t="s">
        <v>89</v>
      </c>
      <c r="I99" s="21" t="s">
        <v>78</v>
      </c>
      <c r="J99" s="32">
        <v>238817.39</v>
      </c>
      <c r="K99" s="21" t="s">
        <v>71</v>
      </c>
      <c r="L99" s="33">
        <v>45580</v>
      </c>
      <c r="M99" s="21" t="s">
        <v>80</v>
      </c>
      <c r="N99" s="32">
        <v>275766.65999999997</v>
      </c>
      <c r="O99" s="21" t="s">
        <v>311</v>
      </c>
      <c r="P99" s="21" t="str">
        <f t="shared" si="6"/>
        <v>2024-10</v>
      </c>
      <c r="Q99" s="21">
        <f t="shared" si="7"/>
        <v>2024</v>
      </c>
      <c r="R99" s="34">
        <f t="shared" si="8"/>
        <v>45566</v>
      </c>
      <c r="S99" s="21">
        <f t="shared" si="9"/>
        <v>1</v>
      </c>
      <c r="T99" s="21" t="str">
        <f t="shared" si="10"/>
        <v>Digital</v>
      </c>
      <c r="U99" s="21" t="str">
        <f t="shared" si="11"/>
        <v>One-Time</v>
      </c>
    </row>
    <row r="100" spans="1:21" x14ac:dyDescent="0.3">
      <c r="A100" s="21" t="s">
        <v>467</v>
      </c>
      <c r="B100" s="21">
        <v>518914</v>
      </c>
      <c r="C100" s="21" t="s">
        <v>468</v>
      </c>
      <c r="D100" s="21" t="s">
        <v>469</v>
      </c>
      <c r="E100" s="21" t="s">
        <v>63</v>
      </c>
      <c r="F100" s="21" t="s">
        <v>255</v>
      </c>
      <c r="G100" s="21" t="s">
        <v>115</v>
      </c>
      <c r="H100" s="21" t="s">
        <v>86</v>
      </c>
      <c r="I100" s="21" t="s">
        <v>76</v>
      </c>
      <c r="J100" s="32">
        <v>212352.26</v>
      </c>
      <c r="K100" s="21" t="s">
        <v>69</v>
      </c>
      <c r="L100" s="33">
        <v>45450</v>
      </c>
      <c r="M100" s="21" t="s">
        <v>80</v>
      </c>
      <c r="N100" s="32">
        <v>1767810</v>
      </c>
      <c r="O100" s="21" t="s">
        <v>150</v>
      </c>
      <c r="P100" s="21" t="str">
        <f t="shared" si="6"/>
        <v>2024-06</v>
      </c>
      <c r="Q100" s="21">
        <f t="shared" si="7"/>
        <v>2024</v>
      </c>
      <c r="R100" s="34">
        <f t="shared" si="8"/>
        <v>45444</v>
      </c>
      <c r="S100" s="21">
        <f t="shared" si="9"/>
        <v>0</v>
      </c>
      <c r="T100" s="21" t="str">
        <f t="shared" si="10"/>
        <v>Card-Based</v>
      </c>
      <c r="U100" s="21" t="str">
        <f t="shared" si="11"/>
        <v>One-Time</v>
      </c>
    </row>
    <row r="101" spans="1:21" x14ac:dyDescent="0.3">
      <c r="A101" s="21" t="s">
        <v>470</v>
      </c>
      <c r="B101" s="21">
        <v>737238</v>
      </c>
      <c r="C101" s="21" t="s">
        <v>471</v>
      </c>
      <c r="D101" s="21" t="s">
        <v>472</v>
      </c>
      <c r="E101" s="21" t="s">
        <v>64</v>
      </c>
      <c r="F101" s="21" t="s">
        <v>158</v>
      </c>
      <c r="G101" s="21" t="s">
        <v>108</v>
      </c>
      <c r="H101" s="21" t="s">
        <v>87</v>
      </c>
      <c r="I101" s="21" t="s">
        <v>75</v>
      </c>
      <c r="J101" s="32">
        <v>264455.89</v>
      </c>
      <c r="K101" s="21" t="s">
        <v>69</v>
      </c>
      <c r="L101" s="33">
        <v>45742</v>
      </c>
      <c r="M101" s="21" t="s">
        <v>80</v>
      </c>
      <c r="N101" s="32">
        <v>1732815.58</v>
      </c>
      <c r="O101" s="21" t="s">
        <v>150</v>
      </c>
      <c r="P101" s="21" t="str">
        <f t="shared" si="6"/>
        <v>2025-03</v>
      </c>
      <c r="Q101" s="21">
        <f t="shared" si="7"/>
        <v>2025</v>
      </c>
      <c r="R101" s="34">
        <f t="shared" si="8"/>
        <v>45717</v>
      </c>
      <c r="S101" s="21">
        <f t="shared" si="9"/>
        <v>0</v>
      </c>
      <c r="T101" s="21" t="str">
        <f t="shared" si="10"/>
        <v>Card-Based</v>
      </c>
      <c r="U101" s="21" t="str">
        <f t="shared" si="11"/>
        <v>One-Time</v>
      </c>
    </row>
    <row r="102" spans="1:21" x14ac:dyDescent="0.3">
      <c r="A102" s="21" t="s">
        <v>473</v>
      </c>
      <c r="B102" s="21">
        <v>460707</v>
      </c>
      <c r="C102" s="21" t="s">
        <v>474</v>
      </c>
      <c r="D102" s="21" t="s">
        <v>475</v>
      </c>
      <c r="E102" s="21" t="s">
        <v>60</v>
      </c>
      <c r="F102" s="21" t="s">
        <v>286</v>
      </c>
      <c r="G102" s="21" t="s">
        <v>124</v>
      </c>
      <c r="H102" s="21" t="s">
        <v>88</v>
      </c>
      <c r="I102" s="21" t="s">
        <v>75</v>
      </c>
      <c r="J102" s="32">
        <v>131212.89000000001</v>
      </c>
      <c r="K102" s="21" t="s">
        <v>72</v>
      </c>
      <c r="L102" s="33">
        <v>45392</v>
      </c>
      <c r="M102" s="21" t="s">
        <v>80</v>
      </c>
      <c r="N102" s="32">
        <v>1938830.27</v>
      </c>
      <c r="O102" s="21" t="s">
        <v>150</v>
      </c>
      <c r="P102" s="21" t="str">
        <f t="shared" si="6"/>
        <v>2024-04</v>
      </c>
      <c r="Q102" s="21">
        <f t="shared" si="7"/>
        <v>2024</v>
      </c>
      <c r="R102" s="34">
        <f t="shared" si="8"/>
        <v>45383</v>
      </c>
      <c r="S102" s="21">
        <f t="shared" si="9"/>
        <v>0</v>
      </c>
      <c r="T102" s="21" t="str">
        <f t="shared" si="10"/>
        <v>Cash-Based</v>
      </c>
      <c r="U102" s="21" t="str">
        <f t="shared" si="11"/>
        <v>One-Time</v>
      </c>
    </row>
    <row r="103" spans="1:21" x14ac:dyDescent="0.3">
      <c r="A103" s="21" t="s">
        <v>476</v>
      </c>
      <c r="B103" s="21">
        <v>408467</v>
      </c>
      <c r="C103" s="21" t="s">
        <v>477</v>
      </c>
      <c r="D103" s="21" t="s">
        <v>478</v>
      </c>
      <c r="E103" s="21" t="s">
        <v>61</v>
      </c>
      <c r="F103" s="21" t="s">
        <v>279</v>
      </c>
      <c r="G103" s="21" t="s">
        <v>125</v>
      </c>
      <c r="H103" s="21" t="s">
        <v>86</v>
      </c>
      <c r="I103" s="21" t="s">
        <v>75</v>
      </c>
      <c r="J103" s="32">
        <v>262020.46</v>
      </c>
      <c r="K103" s="21" t="s">
        <v>72</v>
      </c>
      <c r="L103" s="33">
        <v>45715</v>
      </c>
      <c r="M103" s="21" t="s">
        <v>80</v>
      </c>
      <c r="N103" s="32">
        <v>909536.89</v>
      </c>
      <c r="O103" s="21" t="s">
        <v>150</v>
      </c>
      <c r="P103" s="21" t="str">
        <f t="shared" si="6"/>
        <v>2025-02</v>
      </c>
      <c r="Q103" s="21">
        <f t="shared" si="7"/>
        <v>2025</v>
      </c>
      <c r="R103" s="34">
        <f t="shared" si="8"/>
        <v>45689</v>
      </c>
      <c r="S103" s="21">
        <f t="shared" si="9"/>
        <v>0</v>
      </c>
      <c r="T103" s="21" t="str">
        <f t="shared" si="10"/>
        <v>Cash-Based</v>
      </c>
      <c r="U103" s="21" t="str">
        <f t="shared" si="11"/>
        <v>One-Time</v>
      </c>
    </row>
    <row r="104" spans="1:21" x14ac:dyDescent="0.3">
      <c r="A104" s="21" t="s">
        <v>479</v>
      </c>
      <c r="B104" s="21">
        <v>544498</v>
      </c>
      <c r="C104" s="21" t="s">
        <v>480</v>
      </c>
      <c r="D104" s="21" t="s">
        <v>481</v>
      </c>
      <c r="E104" s="21" t="s">
        <v>62</v>
      </c>
      <c r="F104" s="21" t="s">
        <v>199</v>
      </c>
      <c r="G104" s="21" t="s">
        <v>120</v>
      </c>
      <c r="H104" s="21" t="s">
        <v>88</v>
      </c>
      <c r="I104" s="21" t="s">
        <v>77</v>
      </c>
      <c r="J104" s="32">
        <v>124381.09</v>
      </c>
      <c r="K104" s="21" t="s">
        <v>72</v>
      </c>
      <c r="L104" s="33">
        <v>45318</v>
      </c>
      <c r="M104" s="21" t="s">
        <v>80</v>
      </c>
      <c r="N104" s="32">
        <v>908547.25</v>
      </c>
      <c r="O104" s="21" t="s">
        <v>150</v>
      </c>
      <c r="P104" s="21" t="str">
        <f t="shared" si="6"/>
        <v>2024-01</v>
      </c>
      <c r="Q104" s="21">
        <f t="shared" si="7"/>
        <v>2024</v>
      </c>
      <c r="R104" s="34">
        <f t="shared" si="8"/>
        <v>45292</v>
      </c>
      <c r="S104" s="21">
        <f t="shared" si="9"/>
        <v>0</v>
      </c>
      <c r="T104" s="21" t="str">
        <f t="shared" si="10"/>
        <v>Cash-Based</v>
      </c>
      <c r="U104" s="21" t="str">
        <f t="shared" si="11"/>
        <v>One-Time</v>
      </c>
    </row>
    <row r="105" spans="1:21" x14ac:dyDescent="0.3">
      <c r="A105" s="21" t="s">
        <v>482</v>
      </c>
      <c r="B105" s="21">
        <v>621252</v>
      </c>
      <c r="C105" s="21" t="s">
        <v>483</v>
      </c>
      <c r="D105" s="21" t="s">
        <v>484</v>
      </c>
      <c r="E105" s="21" t="s">
        <v>64</v>
      </c>
      <c r="F105" s="21" t="s">
        <v>162</v>
      </c>
      <c r="G105" s="21" t="s">
        <v>114</v>
      </c>
      <c r="H105" s="21" t="s">
        <v>86</v>
      </c>
      <c r="I105" s="21" t="s">
        <v>75</v>
      </c>
      <c r="J105" s="32">
        <v>160823.4</v>
      </c>
      <c r="K105" s="21" t="s">
        <v>70</v>
      </c>
      <c r="L105" s="33">
        <v>45818</v>
      </c>
      <c r="M105" s="21" t="s">
        <v>80</v>
      </c>
      <c r="N105" s="32">
        <v>1663818.17</v>
      </c>
      <c r="O105" s="21" t="s">
        <v>150</v>
      </c>
      <c r="P105" s="21" t="str">
        <f t="shared" si="6"/>
        <v>2025-06</v>
      </c>
      <c r="Q105" s="21">
        <f t="shared" si="7"/>
        <v>2025</v>
      </c>
      <c r="R105" s="34">
        <f t="shared" si="8"/>
        <v>45809</v>
      </c>
      <c r="S105" s="21">
        <f t="shared" si="9"/>
        <v>0</v>
      </c>
      <c r="T105" s="21" t="str">
        <f t="shared" si="10"/>
        <v>Card-Based</v>
      </c>
      <c r="U105" s="21" t="str">
        <f t="shared" si="11"/>
        <v>One-Time</v>
      </c>
    </row>
    <row r="106" spans="1:21" x14ac:dyDescent="0.3">
      <c r="A106" s="21" t="s">
        <v>485</v>
      </c>
      <c r="B106" s="21">
        <v>726225</v>
      </c>
      <c r="C106" s="21" t="s">
        <v>486</v>
      </c>
      <c r="D106" s="21" t="s">
        <v>487</v>
      </c>
      <c r="E106" s="21" t="s">
        <v>63</v>
      </c>
      <c r="F106" s="21" t="s">
        <v>227</v>
      </c>
      <c r="G106" s="21" t="s">
        <v>118</v>
      </c>
      <c r="H106" s="21" t="s">
        <v>86</v>
      </c>
      <c r="I106" s="21" t="s">
        <v>78</v>
      </c>
      <c r="J106" s="32">
        <v>580253.53</v>
      </c>
      <c r="K106" s="21" t="s">
        <v>72</v>
      </c>
      <c r="L106" s="33">
        <v>45301</v>
      </c>
      <c r="M106" s="21" t="s">
        <v>80</v>
      </c>
      <c r="N106" s="32">
        <v>2200135.6800000002</v>
      </c>
      <c r="O106" s="21" t="s">
        <v>150</v>
      </c>
      <c r="P106" s="21" t="str">
        <f t="shared" si="6"/>
        <v>2024-01</v>
      </c>
      <c r="Q106" s="21">
        <f t="shared" si="7"/>
        <v>2024</v>
      </c>
      <c r="R106" s="34">
        <f t="shared" si="8"/>
        <v>45292</v>
      </c>
      <c r="S106" s="21">
        <f t="shared" si="9"/>
        <v>0</v>
      </c>
      <c r="T106" s="21" t="str">
        <f t="shared" si="10"/>
        <v>Cash-Based</v>
      </c>
      <c r="U106" s="21" t="str">
        <f t="shared" si="11"/>
        <v>One-Time</v>
      </c>
    </row>
    <row r="107" spans="1:21" x14ac:dyDescent="0.3">
      <c r="A107" s="21" t="s">
        <v>488</v>
      </c>
      <c r="B107" s="21">
        <v>434987</v>
      </c>
      <c r="C107" s="21" t="s">
        <v>489</v>
      </c>
      <c r="D107" s="21" t="s">
        <v>490</v>
      </c>
      <c r="E107" s="21" t="s">
        <v>60</v>
      </c>
      <c r="F107" s="21" t="s">
        <v>149</v>
      </c>
      <c r="G107" s="21" t="s">
        <v>119</v>
      </c>
      <c r="H107" s="21" t="s">
        <v>86</v>
      </c>
      <c r="I107" s="21" t="s">
        <v>78</v>
      </c>
      <c r="J107" s="32">
        <v>134600.71</v>
      </c>
      <c r="K107" s="21" t="s">
        <v>72</v>
      </c>
      <c r="L107" s="33">
        <v>45836</v>
      </c>
      <c r="M107" s="21" t="s">
        <v>80</v>
      </c>
      <c r="N107" s="32">
        <v>1982268</v>
      </c>
      <c r="O107" s="21" t="s">
        <v>150</v>
      </c>
      <c r="P107" s="21" t="str">
        <f t="shared" si="6"/>
        <v>2025-06</v>
      </c>
      <c r="Q107" s="21">
        <f t="shared" si="7"/>
        <v>2025</v>
      </c>
      <c r="R107" s="34">
        <f t="shared" si="8"/>
        <v>45809</v>
      </c>
      <c r="S107" s="21">
        <f t="shared" si="9"/>
        <v>0</v>
      </c>
      <c r="T107" s="21" t="str">
        <f t="shared" si="10"/>
        <v>Cash-Based</v>
      </c>
      <c r="U107" s="21" t="str">
        <f t="shared" si="11"/>
        <v>One-Time</v>
      </c>
    </row>
    <row r="108" spans="1:21" x14ac:dyDescent="0.3">
      <c r="A108" s="21" t="s">
        <v>491</v>
      </c>
      <c r="B108" s="21">
        <v>718531</v>
      </c>
      <c r="C108" s="21" t="s">
        <v>492</v>
      </c>
      <c r="D108" s="21" t="s">
        <v>493</v>
      </c>
      <c r="E108" s="21" t="s">
        <v>63</v>
      </c>
      <c r="F108" s="21" t="s">
        <v>223</v>
      </c>
      <c r="G108" s="21" t="s">
        <v>129</v>
      </c>
      <c r="H108" s="21" t="s">
        <v>88</v>
      </c>
      <c r="I108" s="21" t="s">
        <v>77</v>
      </c>
      <c r="J108" s="32">
        <v>127508.79</v>
      </c>
      <c r="K108" s="21" t="s">
        <v>70</v>
      </c>
      <c r="L108" s="33">
        <v>45203</v>
      </c>
      <c r="M108" s="21" t="s">
        <v>80</v>
      </c>
      <c r="N108" s="32">
        <v>531027.1</v>
      </c>
      <c r="O108" s="21" t="s">
        <v>150</v>
      </c>
      <c r="P108" s="21" t="str">
        <f t="shared" si="6"/>
        <v>2023-10</v>
      </c>
      <c r="Q108" s="21">
        <f t="shared" si="7"/>
        <v>2023</v>
      </c>
      <c r="R108" s="34">
        <f t="shared" si="8"/>
        <v>45200</v>
      </c>
      <c r="S108" s="21">
        <f t="shared" si="9"/>
        <v>0</v>
      </c>
      <c r="T108" s="21" t="str">
        <f t="shared" si="10"/>
        <v>Card-Based</v>
      </c>
      <c r="U108" s="21" t="str">
        <f t="shared" si="11"/>
        <v>One-Time</v>
      </c>
    </row>
    <row r="109" spans="1:21" x14ac:dyDescent="0.3">
      <c r="A109" s="21" t="s">
        <v>494</v>
      </c>
      <c r="B109" s="21">
        <v>692379</v>
      </c>
      <c r="C109" s="21" t="s">
        <v>495</v>
      </c>
      <c r="D109" s="21" t="s">
        <v>496</v>
      </c>
      <c r="E109" s="21" t="s">
        <v>63</v>
      </c>
      <c r="F109" s="21" t="s">
        <v>293</v>
      </c>
      <c r="G109" s="21" t="s">
        <v>126</v>
      </c>
      <c r="H109" s="21" t="s">
        <v>88</v>
      </c>
      <c r="I109" s="21" t="s">
        <v>76</v>
      </c>
      <c r="J109" s="32">
        <v>403120.57</v>
      </c>
      <c r="K109" s="21" t="s">
        <v>68</v>
      </c>
      <c r="L109" s="33">
        <v>45432</v>
      </c>
      <c r="M109" s="21" t="s">
        <v>80</v>
      </c>
      <c r="N109" s="32">
        <v>754321.82</v>
      </c>
      <c r="O109" s="21" t="s">
        <v>150</v>
      </c>
      <c r="P109" s="21" t="str">
        <f t="shared" si="6"/>
        <v>2024-05</v>
      </c>
      <c r="Q109" s="21">
        <f t="shared" si="7"/>
        <v>2024</v>
      </c>
      <c r="R109" s="34">
        <f t="shared" si="8"/>
        <v>45413</v>
      </c>
      <c r="S109" s="21">
        <f t="shared" si="9"/>
        <v>0</v>
      </c>
      <c r="T109" s="21" t="str">
        <f t="shared" si="10"/>
        <v>Digital</v>
      </c>
      <c r="U109" s="21" t="str">
        <f t="shared" si="11"/>
        <v>One-Time</v>
      </c>
    </row>
    <row r="110" spans="1:21" x14ac:dyDescent="0.3">
      <c r="A110" s="21" t="s">
        <v>497</v>
      </c>
      <c r="B110" s="21">
        <v>533757</v>
      </c>
      <c r="C110" s="21" t="s">
        <v>498</v>
      </c>
      <c r="D110" s="21" t="s">
        <v>499</v>
      </c>
      <c r="E110" s="21" t="s">
        <v>60</v>
      </c>
      <c r="F110" s="21" t="s">
        <v>203</v>
      </c>
      <c r="G110" s="21" t="s">
        <v>128</v>
      </c>
      <c r="H110" s="21" t="s">
        <v>86</v>
      </c>
      <c r="I110" s="21" t="s">
        <v>76</v>
      </c>
      <c r="J110" s="32">
        <v>384377.95</v>
      </c>
      <c r="K110" s="21" t="s">
        <v>68</v>
      </c>
      <c r="L110" s="33">
        <v>45618</v>
      </c>
      <c r="M110" s="21" t="s">
        <v>80</v>
      </c>
      <c r="N110" s="32">
        <v>943785.49</v>
      </c>
      <c r="O110" s="21" t="s">
        <v>150</v>
      </c>
      <c r="P110" s="21" t="str">
        <f t="shared" si="6"/>
        <v>2024-11</v>
      </c>
      <c r="Q110" s="21">
        <f t="shared" si="7"/>
        <v>2024</v>
      </c>
      <c r="R110" s="34">
        <f t="shared" si="8"/>
        <v>45597</v>
      </c>
      <c r="S110" s="21">
        <f t="shared" si="9"/>
        <v>0</v>
      </c>
      <c r="T110" s="21" t="str">
        <f t="shared" si="10"/>
        <v>Digital</v>
      </c>
      <c r="U110" s="21" t="str">
        <f t="shared" si="11"/>
        <v>One-Time</v>
      </c>
    </row>
    <row r="111" spans="1:21" x14ac:dyDescent="0.3">
      <c r="A111" s="21" t="s">
        <v>500</v>
      </c>
      <c r="B111" s="21">
        <v>317781</v>
      </c>
      <c r="C111" s="21" t="s">
        <v>501</v>
      </c>
      <c r="D111" s="21" t="s">
        <v>502</v>
      </c>
      <c r="E111" s="21" t="s">
        <v>64</v>
      </c>
      <c r="F111" s="21" t="s">
        <v>177</v>
      </c>
      <c r="G111" s="21" t="s">
        <v>113</v>
      </c>
      <c r="H111" s="21" t="s">
        <v>88</v>
      </c>
      <c r="I111" s="21" t="s">
        <v>77</v>
      </c>
      <c r="J111" s="32">
        <v>12223.36</v>
      </c>
      <c r="K111" s="21" t="s">
        <v>69</v>
      </c>
      <c r="L111" s="33">
        <v>45254</v>
      </c>
      <c r="M111" s="21" t="s">
        <v>80</v>
      </c>
      <c r="N111" s="32">
        <v>211768.29</v>
      </c>
      <c r="O111" s="21" t="s">
        <v>150</v>
      </c>
      <c r="P111" s="21" t="str">
        <f t="shared" si="6"/>
        <v>2023-11</v>
      </c>
      <c r="Q111" s="21">
        <f t="shared" si="7"/>
        <v>2023</v>
      </c>
      <c r="R111" s="34">
        <f t="shared" si="8"/>
        <v>45231</v>
      </c>
      <c r="S111" s="21">
        <f t="shared" si="9"/>
        <v>0</v>
      </c>
      <c r="T111" s="21" t="str">
        <f t="shared" si="10"/>
        <v>Card-Based</v>
      </c>
      <c r="U111" s="21" t="str">
        <f t="shared" si="11"/>
        <v>One-Time</v>
      </c>
    </row>
    <row r="112" spans="1:21" x14ac:dyDescent="0.3">
      <c r="A112" s="21" t="s">
        <v>503</v>
      </c>
      <c r="B112" s="21">
        <v>409256</v>
      </c>
      <c r="C112" s="21" t="s">
        <v>504</v>
      </c>
      <c r="D112" s="21" t="s">
        <v>505</v>
      </c>
      <c r="E112" s="21" t="s">
        <v>61</v>
      </c>
      <c r="F112" s="21" t="s">
        <v>330</v>
      </c>
      <c r="G112" s="21" t="s">
        <v>121</v>
      </c>
      <c r="H112" s="21" t="s">
        <v>87</v>
      </c>
      <c r="I112" s="21" t="s">
        <v>76</v>
      </c>
      <c r="J112" s="32">
        <v>497985.44</v>
      </c>
      <c r="K112" s="21" t="s">
        <v>69</v>
      </c>
      <c r="L112" s="33">
        <v>45505</v>
      </c>
      <c r="M112" s="21" t="s">
        <v>82</v>
      </c>
      <c r="N112" s="32">
        <v>899053.12</v>
      </c>
      <c r="O112" s="21" t="s">
        <v>150</v>
      </c>
      <c r="P112" s="21" t="str">
        <f t="shared" si="6"/>
        <v>2024-08</v>
      </c>
      <c r="Q112" s="21">
        <f t="shared" si="7"/>
        <v>2024</v>
      </c>
      <c r="R112" s="34">
        <f t="shared" si="8"/>
        <v>45505</v>
      </c>
      <c r="S112" s="21">
        <f t="shared" si="9"/>
        <v>0</v>
      </c>
      <c r="T112" s="21" t="str">
        <f t="shared" si="10"/>
        <v>Card-Based</v>
      </c>
      <c r="U112" s="21" t="str">
        <f t="shared" si="11"/>
        <v>One-Time</v>
      </c>
    </row>
    <row r="113" spans="1:21" x14ac:dyDescent="0.3">
      <c r="A113" s="21" t="s">
        <v>506</v>
      </c>
      <c r="B113" s="21">
        <v>850255</v>
      </c>
      <c r="C113" s="21" t="s">
        <v>507</v>
      </c>
      <c r="D113" s="21" t="s">
        <v>508</v>
      </c>
      <c r="E113" s="21" t="s">
        <v>62</v>
      </c>
      <c r="F113" s="21" t="s">
        <v>275</v>
      </c>
      <c r="G113" s="21" t="s">
        <v>109</v>
      </c>
      <c r="H113" s="21" t="s">
        <v>87</v>
      </c>
      <c r="I113" s="21" t="s">
        <v>77</v>
      </c>
      <c r="J113" s="32">
        <v>69366.789999999994</v>
      </c>
      <c r="K113" s="21" t="s">
        <v>69</v>
      </c>
      <c r="L113" s="33">
        <v>45580</v>
      </c>
      <c r="M113" s="21" t="s">
        <v>80</v>
      </c>
      <c r="N113" s="32">
        <v>1690157.48</v>
      </c>
      <c r="O113" s="21" t="s">
        <v>150</v>
      </c>
      <c r="P113" s="21" t="str">
        <f t="shared" si="6"/>
        <v>2024-10</v>
      </c>
      <c r="Q113" s="21">
        <f t="shared" si="7"/>
        <v>2024</v>
      </c>
      <c r="R113" s="34">
        <f t="shared" si="8"/>
        <v>45566</v>
      </c>
      <c r="S113" s="21">
        <f t="shared" si="9"/>
        <v>0</v>
      </c>
      <c r="T113" s="21" t="str">
        <f t="shared" si="10"/>
        <v>Card-Based</v>
      </c>
      <c r="U113" s="21" t="str">
        <f t="shared" si="11"/>
        <v>One-Time</v>
      </c>
    </row>
    <row r="114" spans="1:21" x14ac:dyDescent="0.3">
      <c r="A114" s="21" t="s">
        <v>509</v>
      </c>
      <c r="B114" s="21">
        <v>678961</v>
      </c>
      <c r="C114" s="21" t="s">
        <v>510</v>
      </c>
      <c r="D114" s="21" t="s">
        <v>511</v>
      </c>
      <c r="E114" s="21" t="s">
        <v>64</v>
      </c>
      <c r="F114" s="21" t="s">
        <v>162</v>
      </c>
      <c r="G114" s="21" t="s">
        <v>114</v>
      </c>
      <c r="H114" s="21" t="s">
        <v>88</v>
      </c>
      <c r="I114" s="21" t="s">
        <v>76</v>
      </c>
      <c r="J114" s="32">
        <v>89438.03</v>
      </c>
      <c r="K114" s="21" t="s">
        <v>68</v>
      </c>
      <c r="L114" s="33">
        <v>45502</v>
      </c>
      <c r="M114" s="21" t="s">
        <v>80</v>
      </c>
      <c r="N114" s="32">
        <v>613416.06000000006</v>
      </c>
      <c r="O114" s="21" t="s">
        <v>150</v>
      </c>
      <c r="P114" s="21" t="str">
        <f t="shared" si="6"/>
        <v>2024-07</v>
      </c>
      <c r="Q114" s="21">
        <f t="shared" si="7"/>
        <v>2024</v>
      </c>
      <c r="R114" s="34">
        <f t="shared" si="8"/>
        <v>45474</v>
      </c>
      <c r="S114" s="21">
        <f t="shared" si="9"/>
        <v>0</v>
      </c>
      <c r="T114" s="21" t="str">
        <f t="shared" si="10"/>
        <v>Digital</v>
      </c>
      <c r="U114" s="21" t="str">
        <f t="shared" si="11"/>
        <v>One-Time</v>
      </c>
    </row>
    <row r="115" spans="1:21" x14ac:dyDescent="0.3">
      <c r="A115" s="21" t="s">
        <v>512</v>
      </c>
      <c r="B115" s="21">
        <v>172992</v>
      </c>
      <c r="C115" s="21" t="s">
        <v>513</v>
      </c>
      <c r="D115" s="21" t="s">
        <v>514</v>
      </c>
      <c r="E115" s="21" t="s">
        <v>63</v>
      </c>
      <c r="F115" s="21" t="s">
        <v>227</v>
      </c>
      <c r="G115" s="21" t="s">
        <v>118</v>
      </c>
      <c r="H115" s="21" t="s">
        <v>89</v>
      </c>
      <c r="I115" s="21" t="s">
        <v>77</v>
      </c>
      <c r="J115" s="32">
        <v>39572.94</v>
      </c>
      <c r="K115" s="21" t="s">
        <v>69</v>
      </c>
      <c r="L115" s="33">
        <v>45461</v>
      </c>
      <c r="M115" s="21" t="s">
        <v>80</v>
      </c>
      <c r="N115" s="32">
        <v>1837709.49</v>
      </c>
      <c r="O115" s="21" t="s">
        <v>150</v>
      </c>
      <c r="P115" s="21" t="str">
        <f t="shared" si="6"/>
        <v>2024-06</v>
      </c>
      <c r="Q115" s="21">
        <f t="shared" si="7"/>
        <v>2024</v>
      </c>
      <c r="R115" s="34">
        <f t="shared" si="8"/>
        <v>45444</v>
      </c>
      <c r="S115" s="21">
        <f t="shared" si="9"/>
        <v>0</v>
      </c>
      <c r="T115" s="21" t="str">
        <f t="shared" si="10"/>
        <v>Card-Based</v>
      </c>
      <c r="U115" s="21" t="str">
        <f t="shared" si="11"/>
        <v>One-Time</v>
      </c>
    </row>
    <row r="116" spans="1:21" x14ac:dyDescent="0.3">
      <c r="A116" s="21" t="s">
        <v>515</v>
      </c>
      <c r="B116" s="21">
        <v>618099</v>
      </c>
      <c r="C116" s="21" t="s">
        <v>516</v>
      </c>
      <c r="D116" s="21" t="s">
        <v>517</v>
      </c>
      <c r="E116" s="21" t="s">
        <v>64</v>
      </c>
      <c r="F116" s="21" t="s">
        <v>177</v>
      </c>
      <c r="G116" s="21" t="s">
        <v>113</v>
      </c>
      <c r="H116" s="21" t="s">
        <v>89</v>
      </c>
      <c r="I116" s="21" t="s">
        <v>76</v>
      </c>
      <c r="J116" s="32">
        <v>175602.6</v>
      </c>
      <c r="K116" s="21" t="s">
        <v>69</v>
      </c>
      <c r="L116" s="33">
        <v>45299</v>
      </c>
      <c r="M116" s="21" t="s">
        <v>80</v>
      </c>
      <c r="N116" s="32">
        <v>1085277.28</v>
      </c>
      <c r="O116" s="21" t="s">
        <v>150</v>
      </c>
      <c r="P116" s="21" t="str">
        <f t="shared" si="6"/>
        <v>2024-01</v>
      </c>
      <c r="Q116" s="21">
        <f t="shared" si="7"/>
        <v>2024</v>
      </c>
      <c r="R116" s="34">
        <f t="shared" si="8"/>
        <v>45292</v>
      </c>
      <c r="S116" s="21">
        <f t="shared" si="9"/>
        <v>0</v>
      </c>
      <c r="T116" s="21" t="str">
        <f t="shared" si="10"/>
        <v>Card-Based</v>
      </c>
      <c r="U116" s="21" t="str">
        <f t="shared" si="11"/>
        <v>One-Time</v>
      </c>
    </row>
    <row r="117" spans="1:21" x14ac:dyDescent="0.3">
      <c r="A117" s="21" t="s">
        <v>518</v>
      </c>
      <c r="B117" s="21">
        <v>245396</v>
      </c>
      <c r="C117" s="21" t="s">
        <v>519</v>
      </c>
      <c r="D117" s="21" t="s">
        <v>520</v>
      </c>
      <c r="E117" s="21" t="s">
        <v>63</v>
      </c>
      <c r="F117" s="21" t="s">
        <v>255</v>
      </c>
      <c r="G117" s="21" t="s">
        <v>115</v>
      </c>
      <c r="H117" s="21" t="s">
        <v>88</v>
      </c>
      <c r="I117" s="21" t="s">
        <v>75</v>
      </c>
      <c r="J117" s="32">
        <v>287661.89</v>
      </c>
      <c r="K117" s="21" t="s">
        <v>71</v>
      </c>
      <c r="L117" s="33">
        <v>45568</v>
      </c>
      <c r="M117" s="21" t="s">
        <v>80</v>
      </c>
      <c r="N117" s="32">
        <v>509167.84</v>
      </c>
      <c r="O117" s="21" t="s">
        <v>150</v>
      </c>
      <c r="P117" s="21" t="str">
        <f t="shared" si="6"/>
        <v>2024-10</v>
      </c>
      <c r="Q117" s="21">
        <f t="shared" si="7"/>
        <v>2024</v>
      </c>
      <c r="R117" s="34">
        <f t="shared" si="8"/>
        <v>45566</v>
      </c>
      <c r="S117" s="21">
        <f t="shared" si="9"/>
        <v>0</v>
      </c>
      <c r="T117" s="21" t="str">
        <f t="shared" si="10"/>
        <v>Digital</v>
      </c>
      <c r="U117" s="21" t="str">
        <f t="shared" si="11"/>
        <v>One-Time</v>
      </c>
    </row>
    <row r="118" spans="1:21" x14ac:dyDescent="0.3">
      <c r="A118" s="21" t="s">
        <v>521</v>
      </c>
      <c r="B118" s="21">
        <v>396948</v>
      </c>
      <c r="C118" s="21" t="s">
        <v>522</v>
      </c>
      <c r="D118" s="21" t="s">
        <v>523</v>
      </c>
      <c r="E118" s="21" t="s">
        <v>61</v>
      </c>
      <c r="F118" s="21" t="s">
        <v>279</v>
      </c>
      <c r="G118" s="21" t="s">
        <v>125</v>
      </c>
      <c r="H118" s="21" t="s">
        <v>89</v>
      </c>
      <c r="I118" s="21" t="s">
        <v>78</v>
      </c>
      <c r="J118" s="32">
        <v>380035.38</v>
      </c>
      <c r="K118" s="21" t="s">
        <v>72</v>
      </c>
      <c r="L118" s="33">
        <v>45762</v>
      </c>
      <c r="M118" s="21" t="s">
        <v>80</v>
      </c>
      <c r="N118" s="32">
        <v>521060.94</v>
      </c>
      <c r="O118" s="21" t="s">
        <v>150</v>
      </c>
      <c r="P118" s="21" t="str">
        <f t="shared" si="6"/>
        <v>2025-04</v>
      </c>
      <c r="Q118" s="21">
        <f t="shared" si="7"/>
        <v>2025</v>
      </c>
      <c r="R118" s="34">
        <f t="shared" si="8"/>
        <v>45748</v>
      </c>
      <c r="S118" s="21">
        <f t="shared" si="9"/>
        <v>0</v>
      </c>
      <c r="T118" s="21" t="str">
        <f t="shared" si="10"/>
        <v>Cash-Based</v>
      </c>
      <c r="U118" s="21" t="str">
        <f t="shared" si="11"/>
        <v>One-Time</v>
      </c>
    </row>
    <row r="119" spans="1:21" x14ac:dyDescent="0.3">
      <c r="A119" s="21" t="s">
        <v>524</v>
      </c>
      <c r="B119" s="21">
        <v>627945</v>
      </c>
      <c r="C119" s="21" t="s">
        <v>525</v>
      </c>
      <c r="D119" s="21" t="s">
        <v>526</v>
      </c>
      <c r="E119" s="21" t="s">
        <v>62</v>
      </c>
      <c r="F119" s="21" t="s">
        <v>275</v>
      </c>
      <c r="G119" s="21" t="s">
        <v>109</v>
      </c>
      <c r="H119" s="21" t="s">
        <v>87</v>
      </c>
      <c r="I119" s="21" t="s">
        <v>75</v>
      </c>
      <c r="J119" s="32">
        <v>153804.91</v>
      </c>
      <c r="K119" s="21" t="s">
        <v>69</v>
      </c>
      <c r="L119" s="33">
        <v>45170</v>
      </c>
      <c r="M119" s="21" t="s">
        <v>80</v>
      </c>
      <c r="N119" s="32">
        <v>1221345.6499999999</v>
      </c>
      <c r="O119" s="21" t="s">
        <v>150</v>
      </c>
      <c r="P119" s="21" t="str">
        <f t="shared" si="6"/>
        <v>2023-09</v>
      </c>
      <c r="Q119" s="21">
        <f t="shared" si="7"/>
        <v>2023</v>
      </c>
      <c r="R119" s="34">
        <f t="shared" si="8"/>
        <v>45170</v>
      </c>
      <c r="S119" s="21">
        <f t="shared" si="9"/>
        <v>0</v>
      </c>
      <c r="T119" s="21" t="str">
        <f t="shared" si="10"/>
        <v>Card-Based</v>
      </c>
      <c r="U119" s="21" t="str">
        <f t="shared" si="11"/>
        <v>One-Time</v>
      </c>
    </row>
    <row r="120" spans="1:21" x14ac:dyDescent="0.3">
      <c r="A120" s="21" t="s">
        <v>527</v>
      </c>
      <c r="B120" s="21">
        <v>439411</v>
      </c>
      <c r="C120" s="21" t="s">
        <v>528</v>
      </c>
      <c r="D120" s="21" t="s">
        <v>529</v>
      </c>
      <c r="E120" s="21" t="s">
        <v>64</v>
      </c>
      <c r="F120" s="21" t="s">
        <v>188</v>
      </c>
      <c r="G120" s="21" t="s">
        <v>112</v>
      </c>
      <c r="H120" s="21" t="s">
        <v>86</v>
      </c>
      <c r="I120" s="21" t="s">
        <v>76</v>
      </c>
      <c r="J120" s="32">
        <v>113618.28</v>
      </c>
      <c r="K120" s="21" t="s">
        <v>69</v>
      </c>
      <c r="L120" s="33">
        <v>45514</v>
      </c>
      <c r="M120" s="21" t="s">
        <v>80</v>
      </c>
      <c r="N120" s="32">
        <v>1191424.69</v>
      </c>
      <c r="O120" s="21" t="s">
        <v>150</v>
      </c>
      <c r="P120" s="21" t="str">
        <f t="shared" si="6"/>
        <v>2024-08</v>
      </c>
      <c r="Q120" s="21">
        <f t="shared" si="7"/>
        <v>2024</v>
      </c>
      <c r="R120" s="34">
        <f t="shared" si="8"/>
        <v>45505</v>
      </c>
      <c r="S120" s="21">
        <f t="shared" si="9"/>
        <v>0</v>
      </c>
      <c r="T120" s="21" t="str">
        <f t="shared" si="10"/>
        <v>Card-Based</v>
      </c>
      <c r="U120" s="21" t="str">
        <f t="shared" si="11"/>
        <v>One-Time</v>
      </c>
    </row>
    <row r="121" spans="1:21" x14ac:dyDescent="0.3">
      <c r="A121" s="21" t="s">
        <v>530</v>
      </c>
      <c r="B121" s="21">
        <v>900676</v>
      </c>
      <c r="C121" s="21" t="s">
        <v>531</v>
      </c>
      <c r="D121" s="21" t="s">
        <v>532</v>
      </c>
      <c r="E121" s="21" t="s">
        <v>61</v>
      </c>
      <c r="F121" s="21" t="s">
        <v>330</v>
      </c>
      <c r="G121" s="21" t="s">
        <v>121</v>
      </c>
      <c r="H121" s="21" t="s">
        <v>89</v>
      </c>
      <c r="I121" s="21" t="s">
        <v>76</v>
      </c>
      <c r="J121" s="32">
        <v>433074.01</v>
      </c>
      <c r="K121" s="21" t="s">
        <v>71</v>
      </c>
      <c r="L121" s="33">
        <v>45464</v>
      </c>
      <c r="M121" s="21" t="s">
        <v>80</v>
      </c>
      <c r="N121" s="32">
        <v>1054990.6399999999</v>
      </c>
      <c r="O121" s="21" t="s">
        <v>150</v>
      </c>
      <c r="P121" s="21" t="str">
        <f t="shared" si="6"/>
        <v>2024-06</v>
      </c>
      <c r="Q121" s="21">
        <f t="shared" si="7"/>
        <v>2024</v>
      </c>
      <c r="R121" s="34">
        <f t="shared" si="8"/>
        <v>45444</v>
      </c>
      <c r="S121" s="21">
        <f t="shared" si="9"/>
        <v>0</v>
      </c>
      <c r="T121" s="21" t="str">
        <f t="shared" si="10"/>
        <v>Digital</v>
      </c>
      <c r="U121" s="21" t="str">
        <f t="shared" si="11"/>
        <v>One-Time</v>
      </c>
    </row>
    <row r="122" spans="1:21" x14ac:dyDescent="0.3">
      <c r="A122" s="21" t="s">
        <v>533</v>
      </c>
      <c r="B122" s="21">
        <v>843102</v>
      </c>
      <c r="C122" s="21" t="s">
        <v>534</v>
      </c>
      <c r="D122" s="21" t="s">
        <v>535</v>
      </c>
      <c r="E122" s="21" t="s">
        <v>62</v>
      </c>
      <c r="F122" s="21" t="s">
        <v>199</v>
      </c>
      <c r="G122" s="21" t="s">
        <v>120</v>
      </c>
      <c r="H122" s="21" t="s">
        <v>87</v>
      </c>
      <c r="I122" s="21" t="s">
        <v>78</v>
      </c>
      <c r="J122" s="32">
        <v>149417.23000000001</v>
      </c>
      <c r="K122" s="21" t="s">
        <v>72</v>
      </c>
      <c r="L122" s="33">
        <v>45839</v>
      </c>
      <c r="M122" s="21" t="s">
        <v>80</v>
      </c>
      <c r="N122" s="32">
        <v>274117.08</v>
      </c>
      <c r="O122" s="21" t="s">
        <v>150</v>
      </c>
      <c r="P122" s="21" t="str">
        <f t="shared" si="6"/>
        <v>2025-07</v>
      </c>
      <c r="Q122" s="21">
        <f t="shared" si="7"/>
        <v>2025</v>
      </c>
      <c r="R122" s="34">
        <f t="shared" si="8"/>
        <v>45839</v>
      </c>
      <c r="S122" s="21">
        <f t="shared" si="9"/>
        <v>0</v>
      </c>
      <c r="T122" s="21" t="str">
        <f t="shared" si="10"/>
        <v>Cash-Based</v>
      </c>
      <c r="U122" s="21" t="str">
        <f t="shared" si="11"/>
        <v>One-Time</v>
      </c>
    </row>
    <row r="123" spans="1:21" x14ac:dyDescent="0.3">
      <c r="A123" s="21" t="s">
        <v>536</v>
      </c>
      <c r="B123" s="21">
        <v>181978</v>
      </c>
      <c r="C123" s="21" t="s">
        <v>537</v>
      </c>
      <c r="D123" s="21" t="s">
        <v>538</v>
      </c>
      <c r="E123" s="21" t="s">
        <v>60</v>
      </c>
      <c r="F123" s="21" t="s">
        <v>203</v>
      </c>
      <c r="G123" s="21" t="s">
        <v>128</v>
      </c>
      <c r="H123" s="21" t="s">
        <v>88</v>
      </c>
      <c r="I123" s="21" t="s">
        <v>78</v>
      </c>
      <c r="J123" s="32">
        <v>390198.76</v>
      </c>
      <c r="K123" s="21" t="s">
        <v>70</v>
      </c>
      <c r="L123" s="33">
        <v>45476</v>
      </c>
      <c r="M123" s="21" t="s">
        <v>80</v>
      </c>
      <c r="N123" s="32">
        <v>2155021.19</v>
      </c>
      <c r="O123" s="21" t="s">
        <v>150</v>
      </c>
      <c r="P123" s="21" t="str">
        <f t="shared" si="6"/>
        <v>2024-07</v>
      </c>
      <c r="Q123" s="21">
        <f t="shared" si="7"/>
        <v>2024</v>
      </c>
      <c r="R123" s="34">
        <f t="shared" si="8"/>
        <v>45474</v>
      </c>
      <c r="S123" s="21">
        <f t="shared" si="9"/>
        <v>0</v>
      </c>
      <c r="T123" s="21" t="str">
        <f t="shared" si="10"/>
        <v>Card-Based</v>
      </c>
      <c r="U123" s="21" t="str">
        <f t="shared" si="11"/>
        <v>One-Time</v>
      </c>
    </row>
    <row r="124" spans="1:21" x14ac:dyDescent="0.3">
      <c r="A124" s="21" t="s">
        <v>539</v>
      </c>
      <c r="B124" s="21">
        <v>948408</v>
      </c>
      <c r="C124" s="21" t="s">
        <v>540</v>
      </c>
      <c r="D124" s="21" t="s">
        <v>541</v>
      </c>
      <c r="E124" s="21" t="s">
        <v>61</v>
      </c>
      <c r="F124" s="21" t="s">
        <v>330</v>
      </c>
      <c r="G124" s="21" t="s">
        <v>121</v>
      </c>
      <c r="H124" s="21" t="s">
        <v>89</v>
      </c>
      <c r="I124" s="21" t="s">
        <v>76</v>
      </c>
      <c r="J124" s="32">
        <v>244655.55</v>
      </c>
      <c r="K124" s="21" t="s">
        <v>69</v>
      </c>
      <c r="L124" s="33">
        <v>45614</v>
      </c>
      <c r="M124" s="21" t="s">
        <v>80</v>
      </c>
      <c r="N124" s="32">
        <v>1771612.81</v>
      </c>
      <c r="O124" s="21" t="s">
        <v>150</v>
      </c>
      <c r="P124" s="21" t="str">
        <f t="shared" si="6"/>
        <v>2024-11</v>
      </c>
      <c r="Q124" s="21">
        <f t="shared" si="7"/>
        <v>2024</v>
      </c>
      <c r="R124" s="34">
        <f t="shared" si="8"/>
        <v>45597</v>
      </c>
      <c r="S124" s="21">
        <f t="shared" si="9"/>
        <v>0</v>
      </c>
      <c r="T124" s="21" t="str">
        <f t="shared" si="10"/>
        <v>Card-Based</v>
      </c>
      <c r="U124" s="21" t="str">
        <f t="shared" si="11"/>
        <v>One-Time</v>
      </c>
    </row>
    <row r="125" spans="1:21" x14ac:dyDescent="0.3">
      <c r="A125" s="21" t="s">
        <v>542</v>
      </c>
      <c r="B125" s="21">
        <v>524156</v>
      </c>
      <c r="C125" s="21" t="s">
        <v>543</v>
      </c>
      <c r="D125" s="21" t="s">
        <v>544</v>
      </c>
      <c r="E125" s="21" t="s">
        <v>63</v>
      </c>
      <c r="F125" s="21" t="s">
        <v>293</v>
      </c>
      <c r="G125" s="21" t="s">
        <v>126</v>
      </c>
      <c r="H125" s="21" t="s">
        <v>87</v>
      </c>
      <c r="I125" s="21" t="s">
        <v>78</v>
      </c>
      <c r="J125" s="32">
        <v>87325.57</v>
      </c>
      <c r="K125" s="21" t="s">
        <v>70</v>
      </c>
      <c r="L125" s="33">
        <v>45745</v>
      </c>
      <c r="M125" s="21" t="s">
        <v>82</v>
      </c>
      <c r="N125" s="32">
        <v>807658.13</v>
      </c>
      <c r="O125" s="21" t="s">
        <v>150</v>
      </c>
      <c r="P125" s="21" t="str">
        <f t="shared" si="6"/>
        <v>2025-03</v>
      </c>
      <c r="Q125" s="21">
        <f t="shared" si="7"/>
        <v>2025</v>
      </c>
      <c r="R125" s="34">
        <f t="shared" si="8"/>
        <v>45717</v>
      </c>
      <c r="S125" s="21">
        <f t="shared" si="9"/>
        <v>0</v>
      </c>
      <c r="T125" s="21" t="str">
        <f t="shared" si="10"/>
        <v>Card-Based</v>
      </c>
      <c r="U125" s="21" t="str">
        <f t="shared" si="11"/>
        <v>One-Time</v>
      </c>
    </row>
    <row r="126" spans="1:21" x14ac:dyDescent="0.3">
      <c r="A126" s="21" t="s">
        <v>545</v>
      </c>
      <c r="B126" s="21">
        <v>223350</v>
      </c>
      <c r="C126" s="21" t="s">
        <v>546</v>
      </c>
      <c r="D126" s="21" t="s">
        <v>547</v>
      </c>
      <c r="E126" s="21" t="s">
        <v>61</v>
      </c>
      <c r="F126" s="21" t="s">
        <v>279</v>
      </c>
      <c r="G126" s="21" t="s">
        <v>125</v>
      </c>
      <c r="H126" s="21" t="s">
        <v>87</v>
      </c>
      <c r="I126" s="21" t="s">
        <v>76</v>
      </c>
      <c r="J126" s="32">
        <v>83160.84</v>
      </c>
      <c r="K126" s="21" t="s">
        <v>69</v>
      </c>
      <c r="L126" s="33">
        <v>45408</v>
      </c>
      <c r="M126" s="21" t="s">
        <v>80</v>
      </c>
      <c r="N126" s="32">
        <v>1048411.65</v>
      </c>
      <c r="O126" s="21" t="s">
        <v>150</v>
      </c>
      <c r="P126" s="21" t="str">
        <f t="shared" si="6"/>
        <v>2024-04</v>
      </c>
      <c r="Q126" s="21">
        <f t="shared" si="7"/>
        <v>2024</v>
      </c>
      <c r="R126" s="34">
        <f t="shared" si="8"/>
        <v>45383</v>
      </c>
      <c r="S126" s="21">
        <f t="shared" si="9"/>
        <v>0</v>
      </c>
      <c r="T126" s="21" t="str">
        <f t="shared" si="10"/>
        <v>Card-Based</v>
      </c>
      <c r="U126" s="21" t="str">
        <f t="shared" si="11"/>
        <v>One-Time</v>
      </c>
    </row>
    <row r="127" spans="1:21" x14ac:dyDescent="0.3">
      <c r="A127" s="21" t="s">
        <v>548</v>
      </c>
      <c r="B127" s="21">
        <v>860759</v>
      </c>
      <c r="C127" s="21" t="s">
        <v>549</v>
      </c>
      <c r="D127" s="21" t="s">
        <v>550</v>
      </c>
      <c r="E127" s="21" t="s">
        <v>63</v>
      </c>
      <c r="F127" s="21" t="s">
        <v>255</v>
      </c>
      <c r="G127" s="21" t="s">
        <v>115</v>
      </c>
      <c r="H127" s="21" t="s">
        <v>87</v>
      </c>
      <c r="I127" s="21" t="s">
        <v>75</v>
      </c>
      <c r="J127" s="32">
        <v>151300.17000000001</v>
      </c>
      <c r="K127" s="21" t="s">
        <v>68</v>
      </c>
      <c r="L127" s="33">
        <v>45591</v>
      </c>
      <c r="M127" s="21" t="s">
        <v>80</v>
      </c>
      <c r="N127" s="32">
        <v>2103522.29</v>
      </c>
      <c r="O127" s="21" t="s">
        <v>150</v>
      </c>
      <c r="P127" s="21" t="str">
        <f t="shared" si="6"/>
        <v>2024-10</v>
      </c>
      <c r="Q127" s="21">
        <f t="shared" si="7"/>
        <v>2024</v>
      </c>
      <c r="R127" s="34">
        <f t="shared" si="8"/>
        <v>45566</v>
      </c>
      <c r="S127" s="21">
        <f t="shared" si="9"/>
        <v>0</v>
      </c>
      <c r="T127" s="21" t="str">
        <f t="shared" si="10"/>
        <v>Digital</v>
      </c>
      <c r="U127" s="21" t="str">
        <f t="shared" si="11"/>
        <v>One-Time</v>
      </c>
    </row>
    <row r="128" spans="1:21" x14ac:dyDescent="0.3">
      <c r="A128" s="21" t="s">
        <v>551</v>
      </c>
      <c r="B128" s="21">
        <v>275035</v>
      </c>
      <c r="C128" s="21" t="s">
        <v>552</v>
      </c>
      <c r="D128" s="21" t="s">
        <v>553</v>
      </c>
      <c r="E128" s="21" t="s">
        <v>60</v>
      </c>
      <c r="F128" s="21" t="s">
        <v>149</v>
      </c>
      <c r="G128" s="21" t="s">
        <v>119</v>
      </c>
      <c r="H128" s="21" t="s">
        <v>88</v>
      </c>
      <c r="I128" s="21" t="s">
        <v>76</v>
      </c>
      <c r="J128" s="32">
        <v>459795.81</v>
      </c>
      <c r="K128" s="21" t="s">
        <v>69</v>
      </c>
      <c r="L128" s="33">
        <v>45724</v>
      </c>
      <c r="M128" s="21" t="s">
        <v>80</v>
      </c>
      <c r="N128" s="32">
        <v>727378.75</v>
      </c>
      <c r="O128" s="21" t="s">
        <v>150</v>
      </c>
      <c r="P128" s="21" t="str">
        <f t="shared" si="6"/>
        <v>2025-03</v>
      </c>
      <c r="Q128" s="21">
        <f t="shared" si="7"/>
        <v>2025</v>
      </c>
      <c r="R128" s="34">
        <f t="shared" si="8"/>
        <v>45717</v>
      </c>
      <c r="S128" s="21">
        <f t="shared" si="9"/>
        <v>0</v>
      </c>
      <c r="T128" s="21" t="str">
        <f t="shared" si="10"/>
        <v>Card-Based</v>
      </c>
      <c r="U128" s="21" t="str">
        <f t="shared" si="11"/>
        <v>One-Time</v>
      </c>
    </row>
    <row r="129" spans="1:21" x14ac:dyDescent="0.3">
      <c r="A129" s="21" t="s">
        <v>554</v>
      </c>
      <c r="B129" s="21">
        <v>946700</v>
      </c>
      <c r="C129" s="21" t="s">
        <v>555</v>
      </c>
      <c r="D129" s="21" t="s">
        <v>556</v>
      </c>
      <c r="E129" s="21" t="s">
        <v>60</v>
      </c>
      <c r="F129" s="21" t="s">
        <v>286</v>
      </c>
      <c r="G129" s="21" t="s">
        <v>124</v>
      </c>
      <c r="H129" s="21" t="s">
        <v>88</v>
      </c>
      <c r="I129" s="21" t="s">
        <v>75</v>
      </c>
      <c r="J129" s="32">
        <v>234750.67</v>
      </c>
      <c r="K129" s="21" t="s">
        <v>71</v>
      </c>
      <c r="L129" s="33">
        <v>45620</v>
      </c>
      <c r="M129" s="21" t="s">
        <v>80</v>
      </c>
      <c r="N129" s="32">
        <v>1655537.9</v>
      </c>
      <c r="O129" s="21" t="s">
        <v>150</v>
      </c>
      <c r="P129" s="21" t="str">
        <f t="shared" si="6"/>
        <v>2024-11</v>
      </c>
      <c r="Q129" s="21">
        <f t="shared" si="7"/>
        <v>2024</v>
      </c>
      <c r="R129" s="34">
        <f t="shared" si="8"/>
        <v>45597</v>
      </c>
      <c r="S129" s="21">
        <f t="shared" si="9"/>
        <v>0</v>
      </c>
      <c r="T129" s="21" t="str">
        <f t="shared" si="10"/>
        <v>Digital</v>
      </c>
      <c r="U129" s="21" t="str">
        <f t="shared" si="11"/>
        <v>One-Time</v>
      </c>
    </row>
    <row r="130" spans="1:21" x14ac:dyDescent="0.3">
      <c r="A130" s="21" t="s">
        <v>557</v>
      </c>
      <c r="B130" s="21">
        <v>334468</v>
      </c>
      <c r="C130" s="21" t="s">
        <v>558</v>
      </c>
      <c r="D130" s="21" t="s">
        <v>559</v>
      </c>
      <c r="E130" s="21" t="s">
        <v>62</v>
      </c>
      <c r="F130" s="21" t="s">
        <v>181</v>
      </c>
      <c r="G130" s="21" t="s">
        <v>123</v>
      </c>
      <c r="H130" s="21" t="s">
        <v>89</v>
      </c>
      <c r="I130" s="21" t="s">
        <v>75</v>
      </c>
      <c r="J130" s="32">
        <v>252952.49</v>
      </c>
      <c r="K130" s="21" t="s">
        <v>70</v>
      </c>
      <c r="L130" s="33">
        <v>45232</v>
      </c>
      <c r="M130" s="21" t="s">
        <v>80</v>
      </c>
      <c r="N130" s="32">
        <v>1472571.22</v>
      </c>
      <c r="O130" s="21" t="s">
        <v>150</v>
      </c>
      <c r="P130" s="21" t="str">
        <f t="shared" ref="P130:P193" si="12">TEXT(L130,"yyyy-mm")</f>
        <v>2023-11</v>
      </c>
      <c r="Q130" s="21">
        <f t="shared" ref="Q130:Q193" si="13">YEAR(L130)</f>
        <v>2023</v>
      </c>
      <c r="R130" s="34">
        <f t="shared" ref="R130:R193" si="14">DATE(YEAR(L130),MONTH(L130),1)</f>
        <v>45231</v>
      </c>
      <c r="S130" s="21">
        <f t="shared" ref="S130:S193" si="15">IF(O130="Yes",1,0)</f>
        <v>0</v>
      </c>
      <c r="T130" s="21" t="str">
        <f t="shared" ref="T130:T193" si="16">IF(OR(K130="UPI",K130="Net Banking"),"Digital",IF(OR(K130="Debit Card",K130="Credit Card"),"Card-Based",IF(K130="Cash","Cash-Based","Unknown")))</f>
        <v>Card-Based</v>
      </c>
      <c r="U130" s="21" t="str">
        <f t="shared" ref="U130:U193" si="17">IF(COUNTIF($B$2:$B$501,B130)&gt;1,"Frequent","One-Time")</f>
        <v>One-Time</v>
      </c>
    </row>
    <row r="131" spans="1:21" x14ac:dyDescent="0.3">
      <c r="A131" s="21" t="s">
        <v>560</v>
      </c>
      <c r="B131" s="21">
        <v>774637</v>
      </c>
      <c r="C131" s="21" t="s">
        <v>561</v>
      </c>
      <c r="D131" s="21" t="s">
        <v>562</v>
      </c>
      <c r="E131" s="21" t="s">
        <v>62</v>
      </c>
      <c r="F131" s="21" t="s">
        <v>181</v>
      </c>
      <c r="G131" s="21" t="s">
        <v>123</v>
      </c>
      <c r="H131" s="21" t="s">
        <v>88</v>
      </c>
      <c r="I131" s="21" t="s">
        <v>78</v>
      </c>
      <c r="J131" s="32">
        <v>269429.23</v>
      </c>
      <c r="K131" s="21" t="s">
        <v>71</v>
      </c>
      <c r="L131" s="33">
        <v>45406</v>
      </c>
      <c r="M131" s="21" t="s">
        <v>80</v>
      </c>
      <c r="N131" s="32">
        <v>647570.24</v>
      </c>
      <c r="O131" s="21" t="s">
        <v>150</v>
      </c>
      <c r="P131" s="21" t="str">
        <f t="shared" si="12"/>
        <v>2024-04</v>
      </c>
      <c r="Q131" s="21">
        <f t="shared" si="13"/>
        <v>2024</v>
      </c>
      <c r="R131" s="34">
        <f t="shared" si="14"/>
        <v>45383</v>
      </c>
      <c r="S131" s="21">
        <f t="shared" si="15"/>
        <v>0</v>
      </c>
      <c r="T131" s="21" t="str">
        <f t="shared" si="16"/>
        <v>Digital</v>
      </c>
      <c r="U131" s="21" t="str">
        <f t="shared" si="17"/>
        <v>One-Time</v>
      </c>
    </row>
    <row r="132" spans="1:21" x14ac:dyDescent="0.3">
      <c r="A132" s="21" t="s">
        <v>563</v>
      </c>
      <c r="B132" s="21">
        <v>851296</v>
      </c>
      <c r="C132" s="21" t="s">
        <v>564</v>
      </c>
      <c r="D132" s="21" t="s">
        <v>565</v>
      </c>
      <c r="E132" s="21" t="s">
        <v>60</v>
      </c>
      <c r="F132" s="21" t="s">
        <v>173</v>
      </c>
      <c r="G132" s="21" t="s">
        <v>117</v>
      </c>
      <c r="H132" s="21" t="s">
        <v>87</v>
      </c>
      <c r="I132" s="21" t="s">
        <v>75</v>
      </c>
      <c r="J132" s="32">
        <v>193920.04</v>
      </c>
      <c r="K132" s="21" t="s">
        <v>70</v>
      </c>
      <c r="L132" s="33">
        <v>45120</v>
      </c>
      <c r="M132" s="21" t="s">
        <v>80</v>
      </c>
      <c r="N132" s="32">
        <v>1796676.19</v>
      </c>
      <c r="O132" s="21" t="s">
        <v>150</v>
      </c>
      <c r="P132" s="21" t="str">
        <f t="shared" si="12"/>
        <v>2023-07</v>
      </c>
      <c r="Q132" s="21">
        <f t="shared" si="13"/>
        <v>2023</v>
      </c>
      <c r="R132" s="34">
        <f t="shared" si="14"/>
        <v>45108</v>
      </c>
      <c r="S132" s="21">
        <f t="shared" si="15"/>
        <v>0</v>
      </c>
      <c r="T132" s="21" t="str">
        <f t="shared" si="16"/>
        <v>Card-Based</v>
      </c>
      <c r="U132" s="21" t="str">
        <f t="shared" si="17"/>
        <v>One-Time</v>
      </c>
    </row>
    <row r="133" spans="1:21" x14ac:dyDescent="0.3">
      <c r="A133" s="21" t="s">
        <v>566</v>
      </c>
      <c r="B133" s="21">
        <v>322365</v>
      </c>
      <c r="C133" s="21" t="s">
        <v>567</v>
      </c>
      <c r="D133" s="21" t="s">
        <v>568</v>
      </c>
      <c r="E133" s="21" t="s">
        <v>64</v>
      </c>
      <c r="F133" s="21" t="s">
        <v>162</v>
      </c>
      <c r="G133" s="21" t="s">
        <v>114</v>
      </c>
      <c r="H133" s="21" t="s">
        <v>86</v>
      </c>
      <c r="I133" s="21" t="s">
        <v>77</v>
      </c>
      <c r="J133" s="32">
        <v>56240.77</v>
      </c>
      <c r="K133" s="21" t="s">
        <v>69</v>
      </c>
      <c r="L133" s="33">
        <v>45441</v>
      </c>
      <c r="M133" s="21" t="s">
        <v>80</v>
      </c>
      <c r="N133" s="32">
        <v>1542002.49</v>
      </c>
      <c r="O133" s="21" t="s">
        <v>150</v>
      </c>
      <c r="P133" s="21" t="str">
        <f t="shared" si="12"/>
        <v>2024-05</v>
      </c>
      <c r="Q133" s="21">
        <f t="shared" si="13"/>
        <v>2024</v>
      </c>
      <c r="R133" s="34">
        <f t="shared" si="14"/>
        <v>45413</v>
      </c>
      <c r="S133" s="21">
        <f t="shared" si="15"/>
        <v>0</v>
      </c>
      <c r="T133" s="21" t="str">
        <f t="shared" si="16"/>
        <v>Card-Based</v>
      </c>
      <c r="U133" s="21" t="str">
        <f t="shared" si="17"/>
        <v>One-Time</v>
      </c>
    </row>
    <row r="134" spans="1:21" x14ac:dyDescent="0.3">
      <c r="A134" s="21" t="s">
        <v>569</v>
      </c>
      <c r="B134" s="21">
        <v>935644</v>
      </c>
      <c r="C134" s="21" t="s">
        <v>570</v>
      </c>
      <c r="D134" s="21" t="s">
        <v>571</v>
      </c>
      <c r="E134" s="21" t="s">
        <v>64</v>
      </c>
      <c r="F134" s="21" t="s">
        <v>262</v>
      </c>
      <c r="G134" s="21" t="s">
        <v>131</v>
      </c>
      <c r="H134" s="21" t="s">
        <v>88</v>
      </c>
      <c r="I134" s="21" t="s">
        <v>78</v>
      </c>
      <c r="J134" s="32">
        <v>596395.99</v>
      </c>
      <c r="K134" s="21" t="s">
        <v>70</v>
      </c>
      <c r="L134" s="33">
        <v>45698</v>
      </c>
      <c r="M134" s="21" t="s">
        <v>82</v>
      </c>
      <c r="N134" s="32">
        <v>1639467.16</v>
      </c>
      <c r="O134" s="21" t="s">
        <v>150</v>
      </c>
      <c r="P134" s="21" t="str">
        <f t="shared" si="12"/>
        <v>2025-02</v>
      </c>
      <c r="Q134" s="21">
        <f t="shared" si="13"/>
        <v>2025</v>
      </c>
      <c r="R134" s="34">
        <f t="shared" si="14"/>
        <v>45689</v>
      </c>
      <c r="S134" s="21">
        <f t="shared" si="15"/>
        <v>0</v>
      </c>
      <c r="T134" s="21" t="str">
        <f t="shared" si="16"/>
        <v>Card-Based</v>
      </c>
      <c r="U134" s="21" t="str">
        <f t="shared" si="17"/>
        <v>One-Time</v>
      </c>
    </row>
    <row r="135" spans="1:21" x14ac:dyDescent="0.3">
      <c r="A135" s="21" t="s">
        <v>572</v>
      </c>
      <c r="B135" s="21">
        <v>945657</v>
      </c>
      <c r="C135" s="21" t="s">
        <v>573</v>
      </c>
      <c r="D135" s="21" t="s">
        <v>574</v>
      </c>
      <c r="E135" s="21" t="s">
        <v>63</v>
      </c>
      <c r="F135" s="21" t="s">
        <v>223</v>
      </c>
      <c r="G135" s="21" t="s">
        <v>129</v>
      </c>
      <c r="H135" s="21" t="s">
        <v>89</v>
      </c>
      <c r="I135" s="21" t="s">
        <v>75</v>
      </c>
      <c r="J135" s="32">
        <v>55038.21</v>
      </c>
      <c r="K135" s="21" t="s">
        <v>69</v>
      </c>
      <c r="L135" s="33">
        <v>45563</v>
      </c>
      <c r="M135" s="21" t="s">
        <v>80</v>
      </c>
      <c r="N135" s="32">
        <v>1811889.41</v>
      </c>
      <c r="O135" s="21" t="s">
        <v>150</v>
      </c>
      <c r="P135" s="21" t="str">
        <f t="shared" si="12"/>
        <v>2024-09</v>
      </c>
      <c r="Q135" s="21">
        <f t="shared" si="13"/>
        <v>2024</v>
      </c>
      <c r="R135" s="34">
        <f t="shared" si="14"/>
        <v>45536</v>
      </c>
      <c r="S135" s="21">
        <f t="shared" si="15"/>
        <v>0</v>
      </c>
      <c r="T135" s="21" t="str">
        <f t="shared" si="16"/>
        <v>Card-Based</v>
      </c>
      <c r="U135" s="21" t="str">
        <f t="shared" si="17"/>
        <v>One-Time</v>
      </c>
    </row>
    <row r="136" spans="1:21" x14ac:dyDescent="0.3">
      <c r="A136" s="21" t="s">
        <v>575</v>
      </c>
      <c r="B136" s="21">
        <v>752028</v>
      </c>
      <c r="C136" s="21" t="s">
        <v>576</v>
      </c>
      <c r="D136" s="21" t="s">
        <v>577</v>
      </c>
      <c r="E136" s="21" t="s">
        <v>60</v>
      </c>
      <c r="F136" s="21" t="s">
        <v>286</v>
      </c>
      <c r="G136" s="21" t="s">
        <v>124</v>
      </c>
      <c r="H136" s="21" t="s">
        <v>86</v>
      </c>
      <c r="I136" s="21" t="s">
        <v>75</v>
      </c>
      <c r="J136" s="32">
        <v>115885.54</v>
      </c>
      <c r="K136" s="21" t="s">
        <v>68</v>
      </c>
      <c r="L136" s="33">
        <v>45358</v>
      </c>
      <c r="M136" s="21" t="s">
        <v>80</v>
      </c>
      <c r="N136" s="32">
        <v>1391066.47</v>
      </c>
      <c r="O136" s="21" t="s">
        <v>150</v>
      </c>
      <c r="P136" s="21" t="str">
        <f t="shared" si="12"/>
        <v>2024-03</v>
      </c>
      <c r="Q136" s="21">
        <f t="shared" si="13"/>
        <v>2024</v>
      </c>
      <c r="R136" s="34">
        <f t="shared" si="14"/>
        <v>45352</v>
      </c>
      <c r="S136" s="21">
        <f t="shared" si="15"/>
        <v>0</v>
      </c>
      <c r="T136" s="21" t="str">
        <f t="shared" si="16"/>
        <v>Digital</v>
      </c>
      <c r="U136" s="21" t="str">
        <f t="shared" si="17"/>
        <v>One-Time</v>
      </c>
    </row>
    <row r="137" spans="1:21" x14ac:dyDescent="0.3">
      <c r="A137" s="21" t="s">
        <v>578</v>
      </c>
      <c r="B137" s="21">
        <v>751030</v>
      </c>
      <c r="C137" s="21" t="s">
        <v>579</v>
      </c>
      <c r="D137" s="21" t="s">
        <v>580</v>
      </c>
      <c r="E137" s="21" t="s">
        <v>62</v>
      </c>
      <c r="F137" s="21" t="s">
        <v>181</v>
      </c>
      <c r="G137" s="21" t="s">
        <v>123</v>
      </c>
      <c r="H137" s="21" t="s">
        <v>86</v>
      </c>
      <c r="I137" s="21" t="s">
        <v>78</v>
      </c>
      <c r="J137" s="32">
        <v>526549.79</v>
      </c>
      <c r="K137" s="21" t="s">
        <v>72</v>
      </c>
      <c r="L137" s="33">
        <v>45749</v>
      </c>
      <c r="M137" s="21" t="s">
        <v>80</v>
      </c>
      <c r="N137" s="32">
        <v>1574601.6</v>
      </c>
      <c r="O137" s="21" t="s">
        <v>150</v>
      </c>
      <c r="P137" s="21" t="str">
        <f t="shared" si="12"/>
        <v>2025-04</v>
      </c>
      <c r="Q137" s="21">
        <f t="shared" si="13"/>
        <v>2025</v>
      </c>
      <c r="R137" s="34">
        <f t="shared" si="14"/>
        <v>45748</v>
      </c>
      <c r="S137" s="21">
        <f t="shared" si="15"/>
        <v>0</v>
      </c>
      <c r="T137" s="21" t="str">
        <f t="shared" si="16"/>
        <v>Cash-Based</v>
      </c>
      <c r="U137" s="21" t="str">
        <f t="shared" si="17"/>
        <v>One-Time</v>
      </c>
    </row>
    <row r="138" spans="1:21" x14ac:dyDescent="0.3">
      <c r="A138" s="21" t="s">
        <v>581</v>
      </c>
      <c r="B138" s="21">
        <v>728256</v>
      </c>
      <c r="C138" s="21" t="s">
        <v>582</v>
      </c>
      <c r="D138" s="21" t="s">
        <v>583</v>
      </c>
      <c r="E138" s="21" t="s">
        <v>60</v>
      </c>
      <c r="F138" s="21" t="s">
        <v>149</v>
      </c>
      <c r="G138" s="21" t="s">
        <v>119</v>
      </c>
      <c r="H138" s="21" t="s">
        <v>87</v>
      </c>
      <c r="I138" s="21" t="s">
        <v>77</v>
      </c>
      <c r="J138" s="32">
        <v>44496.26</v>
      </c>
      <c r="K138" s="21" t="s">
        <v>71</v>
      </c>
      <c r="L138" s="33">
        <v>45536</v>
      </c>
      <c r="M138" s="21" t="s">
        <v>80</v>
      </c>
      <c r="N138" s="32">
        <v>1439911.83</v>
      </c>
      <c r="O138" s="21" t="s">
        <v>150</v>
      </c>
      <c r="P138" s="21" t="str">
        <f t="shared" si="12"/>
        <v>2024-09</v>
      </c>
      <c r="Q138" s="21">
        <f t="shared" si="13"/>
        <v>2024</v>
      </c>
      <c r="R138" s="34">
        <f t="shared" si="14"/>
        <v>45536</v>
      </c>
      <c r="S138" s="21">
        <f t="shared" si="15"/>
        <v>0</v>
      </c>
      <c r="T138" s="21" t="str">
        <f t="shared" si="16"/>
        <v>Digital</v>
      </c>
      <c r="U138" s="21" t="str">
        <f t="shared" si="17"/>
        <v>One-Time</v>
      </c>
    </row>
    <row r="139" spans="1:21" x14ac:dyDescent="0.3">
      <c r="A139" s="21" t="s">
        <v>584</v>
      </c>
      <c r="B139" s="21">
        <v>647407</v>
      </c>
      <c r="C139" s="21" t="s">
        <v>585</v>
      </c>
      <c r="D139" s="21" t="s">
        <v>586</v>
      </c>
      <c r="E139" s="21" t="s">
        <v>63</v>
      </c>
      <c r="F139" s="21" t="s">
        <v>255</v>
      </c>
      <c r="G139" s="21" t="s">
        <v>115</v>
      </c>
      <c r="H139" s="21" t="s">
        <v>87</v>
      </c>
      <c r="I139" s="21" t="s">
        <v>75</v>
      </c>
      <c r="J139" s="32">
        <v>163254.69</v>
      </c>
      <c r="K139" s="21" t="s">
        <v>69</v>
      </c>
      <c r="L139" s="33">
        <v>45330</v>
      </c>
      <c r="M139" s="21" t="s">
        <v>80</v>
      </c>
      <c r="N139" s="32">
        <v>1363525.22</v>
      </c>
      <c r="O139" s="21" t="s">
        <v>150</v>
      </c>
      <c r="P139" s="21" t="str">
        <f t="shared" si="12"/>
        <v>2024-02</v>
      </c>
      <c r="Q139" s="21">
        <f t="shared" si="13"/>
        <v>2024</v>
      </c>
      <c r="R139" s="34">
        <f t="shared" si="14"/>
        <v>45323</v>
      </c>
      <c r="S139" s="21">
        <f t="shared" si="15"/>
        <v>0</v>
      </c>
      <c r="T139" s="21" t="str">
        <f t="shared" si="16"/>
        <v>Card-Based</v>
      </c>
      <c r="U139" s="21" t="str">
        <f t="shared" si="17"/>
        <v>One-Time</v>
      </c>
    </row>
    <row r="140" spans="1:21" x14ac:dyDescent="0.3">
      <c r="A140" s="21" t="s">
        <v>587</v>
      </c>
      <c r="B140" s="21">
        <v>564962</v>
      </c>
      <c r="C140" s="21" t="s">
        <v>588</v>
      </c>
      <c r="D140" s="21" t="s">
        <v>589</v>
      </c>
      <c r="E140" s="21" t="s">
        <v>64</v>
      </c>
      <c r="F140" s="21" t="s">
        <v>158</v>
      </c>
      <c r="G140" s="21" t="s">
        <v>108</v>
      </c>
      <c r="H140" s="21" t="s">
        <v>89</v>
      </c>
      <c r="I140" s="21" t="s">
        <v>77</v>
      </c>
      <c r="J140" s="32">
        <v>87082.25</v>
      </c>
      <c r="K140" s="21" t="s">
        <v>71</v>
      </c>
      <c r="L140" s="33">
        <v>45186</v>
      </c>
      <c r="M140" s="21" t="s">
        <v>80</v>
      </c>
      <c r="N140" s="32">
        <v>1821809.35</v>
      </c>
      <c r="O140" s="21" t="s">
        <v>150</v>
      </c>
      <c r="P140" s="21" t="str">
        <f t="shared" si="12"/>
        <v>2023-09</v>
      </c>
      <c r="Q140" s="21">
        <f t="shared" si="13"/>
        <v>2023</v>
      </c>
      <c r="R140" s="34">
        <f t="shared" si="14"/>
        <v>45170</v>
      </c>
      <c r="S140" s="21">
        <f t="shared" si="15"/>
        <v>0</v>
      </c>
      <c r="T140" s="21" t="str">
        <f t="shared" si="16"/>
        <v>Digital</v>
      </c>
      <c r="U140" s="21" t="str">
        <f t="shared" si="17"/>
        <v>One-Time</v>
      </c>
    </row>
    <row r="141" spans="1:21" x14ac:dyDescent="0.3">
      <c r="A141" s="21" t="s">
        <v>590</v>
      </c>
      <c r="B141" s="21">
        <v>772937</v>
      </c>
      <c r="C141" s="21" t="s">
        <v>591</v>
      </c>
      <c r="D141" s="21" t="s">
        <v>592</v>
      </c>
      <c r="E141" s="21" t="s">
        <v>64</v>
      </c>
      <c r="F141" s="21" t="s">
        <v>177</v>
      </c>
      <c r="G141" s="21" t="s">
        <v>113</v>
      </c>
      <c r="H141" s="21" t="s">
        <v>89</v>
      </c>
      <c r="I141" s="21" t="s">
        <v>76</v>
      </c>
      <c r="J141" s="32">
        <v>16558.98</v>
      </c>
      <c r="K141" s="21" t="s">
        <v>70</v>
      </c>
      <c r="L141" s="33">
        <v>45252</v>
      </c>
      <c r="M141" s="21" t="s">
        <v>80</v>
      </c>
      <c r="N141" s="32">
        <v>1050564.5900000001</v>
      </c>
      <c r="O141" s="21" t="s">
        <v>150</v>
      </c>
      <c r="P141" s="21" t="str">
        <f t="shared" si="12"/>
        <v>2023-11</v>
      </c>
      <c r="Q141" s="21">
        <f t="shared" si="13"/>
        <v>2023</v>
      </c>
      <c r="R141" s="34">
        <f t="shared" si="14"/>
        <v>45231</v>
      </c>
      <c r="S141" s="21">
        <f t="shared" si="15"/>
        <v>0</v>
      </c>
      <c r="T141" s="21" t="str">
        <f t="shared" si="16"/>
        <v>Card-Based</v>
      </c>
      <c r="U141" s="21" t="str">
        <f t="shared" si="17"/>
        <v>One-Time</v>
      </c>
    </row>
    <row r="142" spans="1:21" x14ac:dyDescent="0.3">
      <c r="A142" s="21" t="s">
        <v>593</v>
      </c>
      <c r="B142" s="21">
        <v>653047</v>
      </c>
      <c r="C142" s="21" t="s">
        <v>594</v>
      </c>
      <c r="D142" s="21" t="s">
        <v>595</v>
      </c>
      <c r="E142" s="21" t="s">
        <v>62</v>
      </c>
      <c r="F142" s="21" t="s">
        <v>275</v>
      </c>
      <c r="G142" s="21" t="s">
        <v>109</v>
      </c>
      <c r="H142" s="21" t="s">
        <v>86</v>
      </c>
      <c r="I142" s="21" t="s">
        <v>76</v>
      </c>
      <c r="J142" s="32">
        <v>118445.89</v>
      </c>
      <c r="K142" s="21" t="s">
        <v>68</v>
      </c>
      <c r="L142" s="33">
        <v>45791</v>
      </c>
      <c r="M142" s="21" t="s">
        <v>80</v>
      </c>
      <c r="N142" s="32">
        <v>1940977.35</v>
      </c>
      <c r="O142" s="21" t="s">
        <v>311</v>
      </c>
      <c r="P142" s="21" t="str">
        <f t="shared" si="12"/>
        <v>2025-05</v>
      </c>
      <c r="Q142" s="21">
        <f t="shared" si="13"/>
        <v>2025</v>
      </c>
      <c r="R142" s="34">
        <f t="shared" si="14"/>
        <v>45778</v>
      </c>
      <c r="S142" s="21">
        <f t="shared" si="15"/>
        <v>1</v>
      </c>
      <c r="T142" s="21" t="str">
        <f t="shared" si="16"/>
        <v>Digital</v>
      </c>
      <c r="U142" s="21" t="str">
        <f t="shared" si="17"/>
        <v>One-Time</v>
      </c>
    </row>
    <row r="143" spans="1:21" x14ac:dyDescent="0.3">
      <c r="A143" s="21" t="s">
        <v>596</v>
      </c>
      <c r="B143" s="21">
        <v>866889</v>
      </c>
      <c r="C143" s="21" t="s">
        <v>597</v>
      </c>
      <c r="D143" s="21" t="s">
        <v>598</v>
      </c>
      <c r="E143" s="21" t="s">
        <v>61</v>
      </c>
      <c r="F143" s="21" t="s">
        <v>330</v>
      </c>
      <c r="G143" s="21" t="s">
        <v>121</v>
      </c>
      <c r="H143" s="21" t="s">
        <v>89</v>
      </c>
      <c r="I143" s="21" t="s">
        <v>78</v>
      </c>
      <c r="J143" s="32">
        <v>538363.37</v>
      </c>
      <c r="K143" s="21" t="s">
        <v>70</v>
      </c>
      <c r="L143" s="33">
        <v>45238</v>
      </c>
      <c r="M143" s="21" t="s">
        <v>80</v>
      </c>
      <c r="N143" s="32">
        <v>1370478.57</v>
      </c>
      <c r="O143" s="21" t="s">
        <v>150</v>
      </c>
      <c r="P143" s="21" t="str">
        <f t="shared" si="12"/>
        <v>2023-11</v>
      </c>
      <c r="Q143" s="21">
        <f t="shared" si="13"/>
        <v>2023</v>
      </c>
      <c r="R143" s="34">
        <f t="shared" si="14"/>
        <v>45231</v>
      </c>
      <c r="S143" s="21">
        <f t="shared" si="15"/>
        <v>0</v>
      </c>
      <c r="T143" s="21" t="str">
        <f t="shared" si="16"/>
        <v>Card-Based</v>
      </c>
      <c r="U143" s="21" t="str">
        <f t="shared" si="17"/>
        <v>One-Time</v>
      </c>
    </row>
    <row r="144" spans="1:21" x14ac:dyDescent="0.3">
      <c r="A144" s="21" t="s">
        <v>599</v>
      </c>
      <c r="B144" s="21">
        <v>350891</v>
      </c>
      <c r="C144" s="21" t="s">
        <v>600</v>
      </c>
      <c r="D144" s="21" t="s">
        <v>601</v>
      </c>
      <c r="E144" s="21" t="s">
        <v>60</v>
      </c>
      <c r="F144" s="21" t="s">
        <v>173</v>
      </c>
      <c r="G144" s="21" t="s">
        <v>117</v>
      </c>
      <c r="H144" s="21" t="s">
        <v>89</v>
      </c>
      <c r="I144" s="21" t="s">
        <v>75</v>
      </c>
      <c r="J144" s="32">
        <v>115989.38</v>
      </c>
      <c r="K144" s="21" t="s">
        <v>68</v>
      </c>
      <c r="L144" s="33">
        <v>45691</v>
      </c>
      <c r="M144" s="21" t="s">
        <v>80</v>
      </c>
      <c r="N144" s="32">
        <v>998213.89</v>
      </c>
      <c r="O144" s="21" t="s">
        <v>150</v>
      </c>
      <c r="P144" s="21" t="str">
        <f t="shared" si="12"/>
        <v>2025-02</v>
      </c>
      <c r="Q144" s="21">
        <f t="shared" si="13"/>
        <v>2025</v>
      </c>
      <c r="R144" s="34">
        <f t="shared" si="14"/>
        <v>45689</v>
      </c>
      <c r="S144" s="21">
        <f t="shared" si="15"/>
        <v>0</v>
      </c>
      <c r="T144" s="21" t="str">
        <f t="shared" si="16"/>
        <v>Digital</v>
      </c>
      <c r="U144" s="21" t="str">
        <f t="shared" si="17"/>
        <v>One-Time</v>
      </c>
    </row>
    <row r="145" spans="1:21" x14ac:dyDescent="0.3">
      <c r="A145" s="21" t="s">
        <v>602</v>
      </c>
      <c r="B145" s="21">
        <v>882580</v>
      </c>
      <c r="C145" s="21" t="s">
        <v>603</v>
      </c>
      <c r="D145" s="21" t="s">
        <v>604</v>
      </c>
      <c r="E145" s="21" t="s">
        <v>63</v>
      </c>
      <c r="F145" s="21" t="s">
        <v>255</v>
      </c>
      <c r="G145" s="21" t="s">
        <v>115</v>
      </c>
      <c r="H145" s="21" t="s">
        <v>87</v>
      </c>
      <c r="I145" s="21" t="s">
        <v>77</v>
      </c>
      <c r="J145" s="32">
        <v>118044.41</v>
      </c>
      <c r="K145" s="21" t="s">
        <v>70</v>
      </c>
      <c r="L145" s="33">
        <v>45727</v>
      </c>
      <c r="M145" s="21" t="s">
        <v>80</v>
      </c>
      <c r="N145" s="32">
        <v>866095.88</v>
      </c>
      <c r="O145" s="21" t="s">
        <v>150</v>
      </c>
      <c r="P145" s="21" t="str">
        <f t="shared" si="12"/>
        <v>2025-03</v>
      </c>
      <c r="Q145" s="21">
        <f t="shared" si="13"/>
        <v>2025</v>
      </c>
      <c r="R145" s="34">
        <f t="shared" si="14"/>
        <v>45717</v>
      </c>
      <c r="S145" s="21">
        <f t="shared" si="15"/>
        <v>0</v>
      </c>
      <c r="T145" s="21" t="str">
        <f t="shared" si="16"/>
        <v>Card-Based</v>
      </c>
      <c r="U145" s="21" t="str">
        <f t="shared" si="17"/>
        <v>One-Time</v>
      </c>
    </row>
    <row r="146" spans="1:21" x14ac:dyDescent="0.3">
      <c r="A146" s="21" t="s">
        <v>605</v>
      </c>
      <c r="B146" s="21">
        <v>658908</v>
      </c>
      <c r="C146" s="21" t="s">
        <v>606</v>
      </c>
      <c r="D146" s="21" t="s">
        <v>607</v>
      </c>
      <c r="E146" s="21" t="s">
        <v>60</v>
      </c>
      <c r="F146" s="21" t="s">
        <v>286</v>
      </c>
      <c r="G146" s="21" t="s">
        <v>124</v>
      </c>
      <c r="H146" s="21" t="s">
        <v>88</v>
      </c>
      <c r="I146" s="21" t="s">
        <v>75</v>
      </c>
      <c r="J146" s="32">
        <v>75762.73</v>
      </c>
      <c r="K146" s="21" t="s">
        <v>72</v>
      </c>
      <c r="L146" s="33">
        <v>45671</v>
      </c>
      <c r="M146" s="21" t="s">
        <v>80</v>
      </c>
      <c r="N146" s="32">
        <v>646653.53</v>
      </c>
      <c r="O146" s="21" t="s">
        <v>150</v>
      </c>
      <c r="P146" s="21" t="str">
        <f t="shared" si="12"/>
        <v>2025-01</v>
      </c>
      <c r="Q146" s="21">
        <f t="shared" si="13"/>
        <v>2025</v>
      </c>
      <c r="R146" s="34">
        <f t="shared" si="14"/>
        <v>45658</v>
      </c>
      <c r="S146" s="21">
        <f t="shared" si="15"/>
        <v>0</v>
      </c>
      <c r="T146" s="21" t="str">
        <f t="shared" si="16"/>
        <v>Cash-Based</v>
      </c>
      <c r="U146" s="21" t="str">
        <f t="shared" si="17"/>
        <v>One-Time</v>
      </c>
    </row>
    <row r="147" spans="1:21" x14ac:dyDescent="0.3">
      <c r="A147" s="21" t="s">
        <v>608</v>
      </c>
      <c r="B147" s="21">
        <v>995453</v>
      </c>
      <c r="C147" s="21" t="s">
        <v>609</v>
      </c>
      <c r="D147" s="21" t="s">
        <v>610</v>
      </c>
      <c r="E147" s="21" t="s">
        <v>64</v>
      </c>
      <c r="F147" s="21" t="s">
        <v>162</v>
      </c>
      <c r="G147" s="21" t="s">
        <v>114</v>
      </c>
      <c r="H147" s="21" t="s">
        <v>89</v>
      </c>
      <c r="I147" s="21" t="s">
        <v>76</v>
      </c>
      <c r="J147" s="32">
        <v>469955.81</v>
      </c>
      <c r="K147" s="21" t="s">
        <v>68</v>
      </c>
      <c r="L147" s="33">
        <v>45682</v>
      </c>
      <c r="M147" s="21" t="s">
        <v>80</v>
      </c>
      <c r="N147" s="32">
        <v>2048155.91</v>
      </c>
      <c r="O147" s="21" t="s">
        <v>150</v>
      </c>
      <c r="P147" s="21" t="str">
        <f t="shared" si="12"/>
        <v>2025-01</v>
      </c>
      <c r="Q147" s="21">
        <f t="shared" si="13"/>
        <v>2025</v>
      </c>
      <c r="R147" s="34">
        <f t="shared" si="14"/>
        <v>45658</v>
      </c>
      <c r="S147" s="21">
        <f t="shared" si="15"/>
        <v>0</v>
      </c>
      <c r="T147" s="21" t="str">
        <f t="shared" si="16"/>
        <v>Digital</v>
      </c>
      <c r="U147" s="21" t="str">
        <f t="shared" si="17"/>
        <v>One-Time</v>
      </c>
    </row>
    <row r="148" spans="1:21" x14ac:dyDescent="0.3">
      <c r="A148" s="21" t="s">
        <v>611</v>
      </c>
      <c r="B148" s="21">
        <v>481552</v>
      </c>
      <c r="C148" s="21" t="s">
        <v>612</v>
      </c>
      <c r="D148" s="21" t="s">
        <v>613</v>
      </c>
      <c r="E148" s="21" t="s">
        <v>60</v>
      </c>
      <c r="F148" s="21" t="s">
        <v>166</v>
      </c>
      <c r="G148" s="21" t="s">
        <v>107</v>
      </c>
      <c r="H148" s="21" t="s">
        <v>88</v>
      </c>
      <c r="I148" s="21" t="s">
        <v>78</v>
      </c>
      <c r="J148" s="32">
        <v>147489.57999999999</v>
      </c>
      <c r="K148" s="21" t="s">
        <v>71</v>
      </c>
      <c r="L148" s="33">
        <v>45122</v>
      </c>
      <c r="M148" s="21" t="s">
        <v>80</v>
      </c>
      <c r="N148" s="32">
        <v>1667932.38</v>
      </c>
      <c r="O148" s="21" t="s">
        <v>150</v>
      </c>
      <c r="P148" s="21" t="str">
        <f t="shared" si="12"/>
        <v>2023-07</v>
      </c>
      <c r="Q148" s="21">
        <f t="shared" si="13"/>
        <v>2023</v>
      </c>
      <c r="R148" s="34">
        <f t="shared" si="14"/>
        <v>45108</v>
      </c>
      <c r="S148" s="21">
        <f t="shared" si="15"/>
        <v>0</v>
      </c>
      <c r="T148" s="21" t="str">
        <f t="shared" si="16"/>
        <v>Digital</v>
      </c>
      <c r="U148" s="21" t="str">
        <f t="shared" si="17"/>
        <v>One-Time</v>
      </c>
    </row>
    <row r="149" spans="1:21" x14ac:dyDescent="0.3">
      <c r="A149" s="21" t="s">
        <v>614</v>
      </c>
      <c r="B149" s="21">
        <v>946300</v>
      </c>
      <c r="C149" s="21" t="s">
        <v>615</v>
      </c>
      <c r="D149" s="21" t="s">
        <v>616</v>
      </c>
      <c r="E149" s="21" t="s">
        <v>60</v>
      </c>
      <c r="F149" s="21" t="s">
        <v>203</v>
      </c>
      <c r="G149" s="21" t="s">
        <v>128</v>
      </c>
      <c r="H149" s="21" t="s">
        <v>87</v>
      </c>
      <c r="I149" s="21" t="s">
        <v>77</v>
      </c>
      <c r="J149" s="32">
        <v>133972.62</v>
      </c>
      <c r="K149" s="21" t="s">
        <v>72</v>
      </c>
      <c r="L149" s="33">
        <v>45679</v>
      </c>
      <c r="M149" s="21" t="s">
        <v>80</v>
      </c>
      <c r="N149" s="32">
        <v>412865.25</v>
      </c>
      <c r="O149" s="21" t="s">
        <v>150</v>
      </c>
      <c r="P149" s="21" t="str">
        <f t="shared" si="12"/>
        <v>2025-01</v>
      </c>
      <c r="Q149" s="21">
        <f t="shared" si="13"/>
        <v>2025</v>
      </c>
      <c r="R149" s="34">
        <f t="shared" si="14"/>
        <v>45658</v>
      </c>
      <c r="S149" s="21">
        <f t="shared" si="15"/>
        <v>0</v>
      </c>
      <c r="T149" s="21" t="str">
        <f t="shared" si="16"/>
        <v>Cash-Based</v>
      </c>
      <c r="U149" s="21" t="str">
        <f t="shared" si="17"/>
        <v>One-Time</v>
      </c>
    </row>
    <row r="150" spans="1:21" x14ac:dyDescent="0.3">
      <c r="A150" s="21" t="s">
        <v>617</v>
      </c>
      <c r="B150" s="21">
        <v>358049</v>
      </c>
      <c r="C150" s="21" t="s">
        <v>618</v>
      </c>
      <c r="D150" s="21" t="s">
        <v>619</v>
      </c>
      <c r="E150" s="21" t="s">
        <v>64</v>
      </c>
      <c r="F150" s="21" t="s">
        <v>158</v>
      </c>
      <c r="G150" s="21" t="s">
        <v>108</v>
      </c>
      <c r="H150" s="21" t="s">
        <v>89</v>
      </c>
      <c r="I150" s="21" t="s">
        <v>76</v>
      </c>
      <c r="J150" s="32">
        <v>406154.8</v>
      </c>
      <c r="K150" s="21" t="s">
        <v>69</v>
      </c>
      <c r="L150" s="33">
        <v>45466</v>
      </c>
      <c r="M150" s="21" t="s">
        <v>80</v>
      </c>
      <c r="N150" s="32">
        <v>2345208.34</v>
      </c>
      <c r="O150" s="21" t="s">
        <v>150</v>
      </c>
      <c r="P150" s="21" t="str">
        <f t="shared" si="12"/>
        <v>2024-06</v>
      </c>
      <c r="Q150" s="21">
        <f t="shared" si="13"/>
        <v>2024</v>
      </c>
      <c r="R150" s="34">
        <f t="shared" si="14"/>
        <v>45444</v>
      </c>
      <c r="S150" s="21">
        <f t="shared" si="15"/>
        <v>0</v>
      </c>
      <c r="T150" s="21" t="str">
        <f t="shared" si="16"/>
        <v>Card-Based</v>
      </c>
      <c r="U150" s="21" t="str">
        <f t="shared" si="17"/>
        <v>One-Time</v>
      </c>
    </row>
    <row r="151" spans="1:21" x14ac:dyDescent="0.3">
      <c r="A151" s="21" t="s">
        <v>620</v>
      </c>
      <c r="B151" s="21">
        <v>579752</v>
      </c>
      <c r="C151" s="21" t="s">
        <v>621</v>
      </c>
      <c r="D151" s="21" t="s">
        <v>622</v>
      </c>
      <c r="E151" s="21" t="s">
        <v>64</v>
      </c>
      <c r="F151" s="21" t="s">
        <v>188</v>
      </c>
      <c r="G151" s="21" t="s">
        <v>112</v>
      </c>
      <c r="H151" s="21" t="s">
        <v>86</v>
      </c>
      <c r="I151" s="21" t="s">
        <v>76</v>
      </c>
      <c r="J151" s="32">
        <v>92892.9</v>
      </c>
      <c r="K151" s="21" t="s">
        <v>70</v>
      </c>
      <c r="L151" s="33">
        <v>45153</v>
      </c>
      <c r="M151" s="21" t="s">
        <v>80</v>
      </c>
      <c r="N151" s="32">
        <v>164830.29999999999</v>
      </c>
      <c r="O151" s="21" t="s">
        <v>150</v>
      </c>
      <c r="P151" s="21" t="str">
        <f t="shared" si="12"/>
        <v>2023-08</v>
      </c>
      <c r="Q151" s="21">
        <f t="shared" si="13"/>
        <v>2023</v>
      </c>
      <c r="R151" s="34">
        <f t="shared" si="14"/>
        <v>45139</v>
      </c>
      <c r="S151" s="21">
        <f t="shared" si="15"/>
        <v>0</v>
      </c>
      <c r="T151" s="21" t="str">
        <f t="shared" si="16"/>
        <v>Card-Based</v>
      </c>
      <c r="U151" s="21" t="str">
        <f t="shared" si="17"/>
        <v>One-Time</v>
      </c>
    </row>
    <row r="152" spans="1:21" x14ac:dyDescent="0.3">
      <c r="A152" s="21" t="s">
        <v>623</v>
      </c>
      <c r="B152" s="21">
        <v>982731</v>
      </c>
      <c r="C152" s="21" t="s">
        <v>624</v>
      </c>
      <c r="D152" s="21" t="s">
        <v>625</v>
      </c>
      <c r="E152" s="21" t="s">
        <v>62</v>
      </c>
      <c r="F152" s="21" t="s">
        <v>181</v>
      </c>
      <c r="G152" s="21" t="s">
        <v>123</v>
      </c>
      <c r="H152" s="21" t="s">
        <v>89</v>
      </c>
      <c r="I152" s="21" t="s">
        <v>76</v>
      </c>
      <c r="J152" s="32">
        <v>193006.63</v>
      </c>
      <c r="K152" s="21" t="s">
        <v>70</v>
      </c>
      <c r="L152" s="33">
        <v>45192</v>
      </c>
      <c r="M152" s="21" t="s">
        <v>80</v>
      </c>
      <c r="N152" s="32">
        <v>670537.15</v>
      </c>
      <c r="O152" s="21" t="s">
        <v>150</v>
      </c>
      <c r="P152" s="21" t="str">
        <f t="shared" si="12"/>
        <v>2023-09</v>
      </c>
      <c r="Q152" s="21">
        <f t="shared" si="13"/>
        <v>2023</v>
      </c>
      <c r="R152" s="34">
        <f t="shared" si="14"/>
        <v>45170</v>
      </c>
      <c r="S152" s="21">
        <f t="shared" si="15"/>
        <v>0</v>
      </c>
      <c r="T152" s="21" t="str">
        <f t="shared" si="16"/>
        <v>Card-Based</v>
      </c>
      <c r="U152" s="21" t="str">
        <f t="shared" si="17"/>
        <v>One-Time</v>
      </c>
    </row>
    <row r="153" spans="1:21" x14ac:dyDescent="0.3">
      <c r="A153" s="21" t="s">
        <v>626</v>
      </c>
      <c r="B153" s="21">
        <v>695378</v>
      </c>
      <c r="C153" s="21" t="s">
        <v>627</v>
      </c>
      <c r="D153" s="21" t="s">
        <v>628</v>
      </c>
      <c r="E153" s="21" t="s">
        <v>63</v>
      </c>
      <c r="F153" s="21" t="s">
        <v>227</v>
      </c>
      <c r="G153" s="21" t="s">
        <v>118</v>
      </c>
      <c r="H153" s="21" t="s">
        <v>86</v>
      </c>
      <c r="I153" s="21" t="s">
        <v>78</v>
      </c>
      <c r="J153" s="32">
        <v>160451.89000000001</v>
      </c>
      <c r="K153" s="21" t="s">
        <v>70</v>
      </c>
      <c r="L153" s="33">
        <v>45735</v>
      </c>
      <c r="M153" s="21" t="s">
        <v>80</v>
      </c>
      <c r="N153" s="32">
        <v>310616.62</v>
      </c>
      <c r="O153" s="21" t="s">
        <v>150</v>
      </c>
      <c r="P153" s="21" t="str">
        <f t="shared" si="12"/>
        <v>2025-03</v>
      </c>
      <c r="Q153" s="21">
        <f t="shared" si="13"/>
        <v>2025</v>
      </c>
      <c r="R153" s="34">
        <f t="shared" si="14"/>
        <v>45717</v>
      </c>
      <c r="S153" s="21">
        <f t="shared" si="15"/>
        <v>0</v>
      </c>
      <c r="T153" s="21" t="str">
        <f t="shared" si="16"/>
        <v>Card-Based</v>
      </c>
      <c r="U153" s="21" t="str">
        <f t="shared" si="17"/>
        <v>One-Time</v>
      </c>
    </row>
    <row r="154" spans="1:21" x14ac:dyDescent="0.3">
      <c r="A154" s="21" t="s">
        <v>629</v>
      </c>
      <c r="B154" s="21">
        <v>749260</v>
      </c>
      <c r="C154" s="21" t="s">
        <v>630</v>
      </c>
      <c r="D154" s="21" t="s">
        <v>631</v>
      </c>
      <c r="E154" s="21" t="s">
        <v>62</v>
      </c>
      <c r="F154" s="21" t="s">
        <v>297</v>
      </c>
      <c r="G154" s="21" t="s">
        <v>111</v>
      </c>
      <c r="H154" s="21" t="s">
        <v>86</v>
      </c>
      <c r="I154" s="21" t="s">
        <v>75</v>
      </c>
      <c r="J154" s="32">
        <v>277196.03000000003</v>
      </c>
      <c r="K154" s="21" t="s">
        <v>70</v>
      </c>
      <c r="L154" s="33">
        <v>45430</v>
      </c>
      <c r="M154" s="21" t="s">
        <v>83</v>
      </c>
      <c r="N154" s="32">
        <v>707859.62</v>
      </c>
      <c r="O154" s="21" t="s">
        <v>150</v>
      </c>
      <c r="P154" s="21" t="str">
        <f t="shared" si="12"/>
        <v>2024-05</v>
      </c>
      <c r="Q154" s="21">
        <f t="shared" si="13"/>
        <v>2024</v>
      </c>
      <c r="R154" s="34">
        <f t="shared" si="14"/>
        <v>45413</v>
      </c>
      <c r="S154" s="21">
        <f t="shared" si="15"/>
        <v>0</v>
      </c>
      <c r="T154" s="21" t="str">
        <f t="shared" si="16"/>
        <v>Card-Based</v>
      </c>
      <c r="U154" s="21" t="str">
        <f t="shared" si="17"/>
        <v>One-Time</v>
      </c>
    </row>
    <row r="155" spans="1:21" x14ac:dyDescent="0.3">
      <c r="A155" s="21" t="s">
        <v>632</v>
      </c>
      <c r="B155" s="21">
        <v>957981</v>
      </c>
      <c r="C155" s="21" t="s">
        <v>633</v>
      </c>
      <c r="D155" s="21" t="s">
        <v>634</v>
      </c>
      <c r="E155" s="21" t="s">
        <v>62</v>
      </c>
      <c r="F155" s="21" t="s">
        <v>275</v>
      </c>
      <c r="G155" s="21" t="s">
        <v>109</v>
      </c>
      <c r="H155" s="21" t="s">
        <v>88</v>
      </c>
      <c r="I155" s="21" t="s">
        <v>76</v>
      </c>
      <c r="J155" s="32">
        <v>69841.899999999994</v>
      </c>
      <c r="K155" s="21" t="s">
        <v>69</v>
      </c>
      <c r="L155" s="33">
        <v>45632</v>
      </c>
      <c r="M155" s="21" t="s">
        <v>80</v>
      </c>
      <c r="N155" s="32">
        <v>891749.57</v>
      </c>
      <c r="O155" s="21" t="s">
        <v>150</v>
      </c>
      <c r="P155" s="21" t="str">
        <f t="shared" si="12"/>
        <v>2024-12</v>
      </c>
      <c r="Q155" s="21">
        <f t="shared" si="13"/>
        <v>2024</v>
      </c>
      <c r="R155" s="34">
        <f t="shared" si="14"/>
        <v>45627</v>
      </c>
      <c r="S155" s="21">
        <f t="shared" si="15"/>
        <v>0</v>
      </c>
      <c r="T155" s="21" t="str">
        <f t="shared" si="16"/>
        <v>Card-Based</v>
      </c>
      <c r="U155" s="21" t="str">
        <f t="shared" si="17"/>
        <v>One-Time</v>
      </c>
    </row>
    <row r="156" spans="1:21" x14ac:dyDescent="0.3">
      <c r="A156" s="21" t="s">
        <v>635</v>
      </c>
      <c r="B156" s="21">
        <v>893415</v>
      </c>
      <c r="C156" s="21" t="s">
        <v>636</v>
      </c>
      <c r="D156" s="21" t="s">
        <v>637</v>
      </c>
      <c r="E156" s="21" t="s">
        <v>61</v>
      </c>
      <c r="F156" s="21" t="s">
        <v>154</v>
      </c>
      <c r="G156" s="21" t="s">
        <v>122</v>
      </c>
      <c r="H156" s="21" t="s">
        <v>86</v>
      </c>
      <c r="I156" s="21" t="s">
        <v>78</v>
      </c>
      <c r="J156" s="32">
        <v>267487.64</v>
      </c>
      <c r="K156" s="21" t="s">
        <v>70</v>
      </c>
      <c r="L156" s="33">
        <v>45677</v>
      </c>
      <c r="M156" s="21" t="s">
        <v>80</v>
      </c>
      <c r="N156" s="32">
        <v>2062972.87</v>
      </c>
      <c r="O156" s="21" t="s">
        <v>150</v>
      </c>
      <c r="P156" s="21" t="str">
        <f t="shared" si="12"/>
        <v>2025-01</v>
      </c>
      <c r="Q156" s="21">
        <f t="shared" si="13"/>
        <v>2025</v>
      </c>
      <c r="R156" s="34">
        <f t="shared" si="14"/>
        <v>45658</v>
      </c>
      <c r="S156" s="21">
        <f t="shared" si="15"/>
        <v>0</v>
      </c>
      <c r="T156" s="21" t="str">
        <f t="shared" si="16"/>
        <v>Card-Based</v>
      </c>
      <c r="U156" s="21" t="str">
        <f t="shared" si="17"/>
        <v>One-Time</v>
      </c>
    </row>
    <row r="157" spans="1:21" x14ac:dyDescent="0.3">
      <c r="A157" s="21" t="s">
        <v>638</v>
      </c>
      <c r="B157" s="21">
        <v>270470</v>
      </c>
      <c r="C157" s="21" t="s">
        <v>639</v>
      </c>
      <c r="D157" s="21" t="s">
        <v>640</v>
      </c>
      <c r="E157" s="21" t="s">
        <v>60</v>
      </c>
      <c r="F157" s="21" t="s">
        <v>203</v>
      </c>
      <c r="G157" s="21" t="s">
        <v>128</v>
      </c>
      <c r="H157" s="21" t="s">
        <v>89</v>
      </c>
      <c r="I157" s="21" t="s">
        <v>76</v>
      </c>
      <c r="J157" s="32">
        <v>70696.570000000007</v>
      </c>
      <c r="K157" s="21" t="s">
        <v>70</v>
      </c>
      <c r="L157" s="33">
        <v>45595</v>
      </c>
      <c r="M157" s="21" t="s">
        <v>80</v>
      </c>
      <c r="N157" s="32">
        <v>102989.25</v>
      </c>
      <c r="O157" s="21" t="s">
        <v>150</v>
      </c>
      <c r="P157" s="21" t="str">
        <f t="shared" si="12"/>
        <v>2024-10</v>
      </c>
      <c r="Q157" s="21">
        <f t="shared" si="13"/>
        <v>2024</v>
      </c>
      <c r="R157" s="34">
        <f t="shared" si="14"/>
        <v>45566</v>
      </c>
      <c r="S157" s="21">
        <f t="shared" si="15"/>
        <v>0</v>
      </c>
      <c r="T157" s="21" t="str">
        <f t="shared" si="16"/>
        <v>Card-Based</v>
      </c>
      <c r="U157" s="21" t="str">
        <f t="shared" si="17"/>
        <v>One-Time</v>
      </c>
    </row>
    <row r="158" spans="1:21" x14ac:dyDescent="0.3">
      <c r="A158" s="21" t="s">
        <v>641</v>
      </c>
      <c r="B158" s="21">
        <v>775874</v>
      </c>
      <c r="C158" s="21" t="s">
        <v>642</v>
      </c>
      <c r="D158" s="21" t="s">
        <v>643</v>
      </c>
      <c r="E158" s="21" t="s">
        <v>61</v>
      </c>
      <c r="F158" s="21" t="s">
        <v>279</v>
      </c>
      <c r="G158" s="21" t="s">
        <v>125</v>
      </c>
      <c r="H158" s="21" t="s">
        <v>88</v>
      </c>
      <c r="I158" s="21" t="s">
        <v>77</v>
      </c>
      <c r="J158" s="32">
        <v>111768.05</v>
      </c>
      <c r="K158" s="21" t="s">
        <v>70</v>
      </c>
      <c r="L158" s="33">
        <v>45761</v>
      </c>
      <c r="M158" s="21" t="s">
        <v>80</v>
      </c>
      <c r="N158" s="32">
        <v>1778008.15</v>
      </c>
      <c r="O158" s="21" t="s">
        <v>150</v>
      </c>
      <c r="P158" s="21" t="str">
        <f t="shared" si="12"/>
        <v>2025-04</v>
      </c>
      <c r="Q158" s="21">
        <f t="shared" si="13"/>
        <v>2025</v>
      </c>
      <c r="R158" s="34">
        <f t="shared" si="14"/>
        <v>45748</v>
      </c>
      <c r="S158" s="21">
        <f t="shared" si="15"/>
        <v>0</v>
      </c>
      <c r="T158" s="21" t="str">
        <f t="shared" si="16"/>
        <v>Card-Based</v>
      </c>
      <c r="U158" s="21" t="str">
        <f t="shared" si="17"/>
        <v>One-Time</v>
      </c>
    </row>
    <row r="159" spans="1:21" x14ac:dyDescent="0.3">
      <c r="A159" s="21" t="s">
        <v>644</v>
      </c>
      <c r="B159" s="21">
        <v>264651</v>
      </c>
      <c r="C159" s="21" t="s">
        <v>645</v>
      </c>
      <c r="D159" s="21" t="s">
        <v>646</v>
      </c>
      <c r="E159" s="21" t="s">
        <v>62</v>
      </c>
      <c r="F159" s="21" t="s">
        <v>181</v>
      </c>
      <c r="G159" s="21" t="s">
        <v>123</v>
      </c>
      <c r="H159" s="21" t="s">
        <v>87</v>
      </c>
      <c r="I159" s="21" t="s">
        <v>75</v>
      </c>
      <c r="J159" s="32">
        <v>185535.98</v>
      </c>
      <c r="K159" s="21" t="s">
        <v>69</v>
      </c>
      <c r="L159" s="33">
        <v>45734</v>
      </c>
      <c r="M159" s="21" t="s">
        <v>80</v>
      </c>
      <c r="N159" s="32">
        <v>594950.13</v>
      </c>
      <c r="O159" s="21" t="s">
        <v>150</v>
      </c>
      <c r="P159" s="21" t="str">
        <f t="shared" si="12"/>
        <v>2025-03</v>
      </c>
      <c r="Q159" s="21">
        <f t="shared" si="13"/>
        <v>2025</v>
      </c>
      <c r="R159" s="34">
        <f t="shared" si="14"/>
        <v>45717</v>
      </c>
      <c r="S159" s="21">
        <f t="shared" si="15"/>
        <v>0</v>
      </c>
      <c r="T159" s="21" t="str">
        <f t="shared" si="16"/>
        <v>Card-Based</v>
      </c>
      <c r="U159" s="21" t="str">
        <f t="shared" si="17"/>
        <v>One-Time</v>
      </c>
    </row>
    <row r="160" spans="1:21" x14ac:dyDescent="0.3">
      <c r="A160" s="21" t="s">
        <v>647</v>
      </c>
      <c r="B160" s="21">
        <v>464154</v>
      </c>
      <c r="C160" s="21" t="s">
        <v>648</v>
      </c>
      <c r="D160" s="21" t="s">
        <v>649</v>
      </c>
      <c r="E160" s="21" t="s">
        <v>62</v>
      </c>
      <c r="F160" s="21" t="s">
        <v>310</v>
      </c>
      <c r="G160" s="21" t="s">
        <v>110</v>
      </c>
      <c r="H160" s="21" t="s">
        <v>89</v>
      </c>
      <c r="I160" s="21" t="s">
        <v>78</v>
      </c>
      <c r="J160" s="32">
        <v>443617.87</v>
      </c>
      <c r="K160" s="21" t="s">
        <v>69</v>
      </c>
      <c r="L160" s="33">
        <v>45567</v>
      </c>
      <c r="M160" s="21" t="s">
        <v>80</v>
      </c>
      <c r="N160" s="32">
        <v>797962.84</v>
      </c>
      <c r="O160" s="21" t="s">
        <v>150</v>
      </c>
      <c r="P160" s="21" t="str">
        <f t="shared" si="12"/>
        <v>2024-10</v>
      </c>
      <c r="Q160" s="21">
        <f t="shared" si="13"/>
        <v>2024</v>
      </c>
      <c r="R160" s="34">
        <f t="shared" si="14"/>
        <v>45566</v>
      </c>
      <c r="S160" s="21">
        <f t="shared" si="15"/>
        <v>0</v>
      </c>
      <c r="T160" s="21" t="str">
        <f t="shared" si="16"/>
        <v>Card-Based</v>
      </c>
      <c r="U160" s="21" t="str">
        <f t="shared" si="17"/>
        <v>One-Time</v>
      </c>
    </row>
    <row r="161" spans="1:21" x14ac:dyDescent="0.3">
      <c r="A161" s="21" t="s">
        <v>650</v>
      </c>
      <c r="B161" s="21">
        <v>146344</v>
      </c>
      <c r="C161" s="21" t="s">
        <v>651</v>
      </c>
      <c r="D161" s="21" t="s">
        <v>652</v>
      </c>
      <c r="E161" s="21" t="s">
        <v>61</v>
      </c>
      <c r="F161" s="21" t="s">
        <v>330</v>
      </c>
      <c r="G161" s="21" t="s">
        <v>121</v>
      </c>
      <c r="H161" s="21" t="s">
        <v>88</v>
      </c>
      <c r="I161" s="21" t="s">
        <v>76</v>
      </c>
      <c r="J161" s="32">
        <v>21505.02</v>
      </c>
      <c r="K161" s="21" t="s">
        <v>72</v>
      </c>
      <c r="L161" s="33">
        <v>45171</v>
      </c>
      <c r="M161" s="21" t="s">
        <v>80</v>
      </c>
      <c r="N161" s="32">
        <v>1932874.96</v>
      </c>
      <c r="O161" s="21" t="s">
        <v>150</v>
      </c>
      <c r="P161" s="21" t="str">
        <f t="shared" si="12"/>
        <v>2023-09</v>
      </c>
      <c r="Q161" s="21">
        <f t="shared" si="13"/>
        <v>2023</v>
      </c>
      <c r="R161" s="34">
        <f t="shared" si="14"/>
        <v>45170</v>
      </c>
      <c r="S161" s="21">
        <f t="shared" si="15"/>
        <v>0</v>
      </c>
      <c r="T161" s="21" t="str">
        <f t="shared" si="16"/>
        <v>Cash-Based</v>
      </c>
      <c r="U161" s="21" t="str">
        <f t="shared" si="17"/>
        <v>One-Time</v>
      </c>
    </row>
    <row r="162" spans="1:21" x14ac:dyDescent="0.3">
      <c r="A162" s="21" t="s">
        <v>653</v>
      </c>
      <c r="B162" s="21">
        <v>575179</v>
      </c>
      <c r="C162" s="21" t="s">
        <v>654</v>
      </c>
      <c r="D162" s="21" t="s">
        <v>655</v>
      </c>
      <c r="E162" s="21" t="s">
        <v>60</v>
      </c>
      <c r="F162" s="21" t="s">
        <v>166</v>
      </c>
      <c r="G162" s="21" t="s">
        <v>107</v>
      </c>
      <c r="H162" s="21" t="s">
        <v>87</v>
      </c>
      <c r="I162" s="21" t="s">
        <v>75</v>
      </c>
      <c r="J162" s="32">
        <v>41041.120000000003</v>
      </c>
      <c r="K162" s="21" t="s">
        <v>68</v>
      </c>
      <c r="L162" s="33">
        <v>45794</v>
      </c>
      <c r="M162" s="21" t="s">
        <v>80</v>
      </c>
      <c r="N162" s="32">
        <v>137008.63</v>
      </c>
      <c r="O162" s="21" t="s">
        <v>150</v>
      </c>
      <c r="P162" s="21" t="str">
        <f t="shared" si="12"/>
        <v>2025-05</v>
      </c>
      <c r="Q162" s="21">
        <f t="shared" si="13"/>
        <v>2025</v>
      </c>
      <c r="R162" s="34">
        <f t="shared" si="14"/>
        <v>45778</v>
      </c>
      <c r="S162" s="21">
        <f t="shared" si="15"/>
        <v>0</v>
      </c>
      <c r="T162" s="21" t="str">
        <f t="shared" si="16"/>
        <v>Digital</v>
      </c>
      <c r="U162" s="21" t="str">
        <f t="shared" si="17"/>
        <v>One-Time</v>
      </c>
    </row>
    <row r="163" spans="1:21" x14ac:dyDescent="0.3">
      <c r="A163" s="21" t="s">
        <v>656</v>
      </c>
      <c r="B163" s="21">
        <v>721340</v>
      </c>
      <c r="C163" s="21" t="s">
        <v>657</v>
      </c>
      <c r="D163" s="21" t="s">
        <v>658</v>
      </c>
      <c r="E163" s="21" t="s">
        <v>60</v>
      </c>
      <c r="F163" s="21" t="s">
        <v>173</v>
      </c>
      <c r="G163" s="21" t="s">
        <v>117</v>
      </c>
      <c r="H163" s="21" t="s">
        <v>89</v>
      </c>
      <c r="I163" s="21" t="s">
        <v>77</v>
      </c>
      <c r="J163" s="32">
        <v>127514.79</v>
      </c>
      <c r="K163" s="21" t="s">
        <v>72</v>
      </c>
      <c r="L163" s="33">
        <v>45275</v>
      </c>
      <c r="M163" s="21" t="s">
        <v>82</v>
      </c>
      <c r="N163" s="32">
        <v>970456.1</v>
      </c>
      <c r="O163" s="21" t="s">
        <v>150</v>
      </c>
      <c r="P163" s="21" t="str">
        <f t="shared" si="12"/>
        <v>2023-12</v>
      </c>
      <c r="Q163" s="21">
        <f t="shared" si="13"/>
        <v>2023</v>
      </c>
      <c r="R163" s="34">
        <f t="shared" si="14"/>
        <v>45261</v>
      </c>
      <c r="S163" s="21">
        <f t="shared" si="15"/>
        <v>0</v>
      </c>
      <c r="T163" s="21" t="str">
        <f t="shared" si="16"/>
        <v>Cash-Based</v>
      </c>
      <c r="U163" s="21" t="str">
        <f t="shared" si="17"/>
        <v>One-Time</v>
      </c>
    </row>
    <row r="164" spans="1:21" x14ac:dyDescent="0.3">
      <c r="A164" s="21" t="s">
        <v>659</v>
      </c>
      <c r="B164" s="21">
        <v>978283</v>
      </c>
      <c r="C164" s="21" t="s">
        <v>660</v>
      </c>
      <c r="D164" s="21" t="s">
        <v>661</v>
      </c>
      <c r="E164" s="21" t="s">
        <v>64</v>
      </c>
      <c r="F164" s="21" t="s">
        <v>158</v>
      </c>
      <c r="G164" s="21" t="s">
        <v>108</v>
      </c>
      <c r="H164" s="21" t="s">
        <v>89</v>
      </c>
      <c r="I164" s="21" t="s">
        <v>75</v>
      </c>
      <c r="J164" s="32">
        <v>46440.959999999999</v>
      </c>
      <c r="K164" s="21" t="s">
        <v>69</v>
      </c>
      <c r="L164" s="33">
        <v>45472</v>
      </c>
      <c r="M164" s="21" t="s">
        <v>80</v>
      </c>
      <c r="N164" s="32">
        <v>1302694.5</v>
      </c>
      <c r="O164" s="21" t="s">
        <v>150</v>
      </c>
      <c r="P164" s="21" t="str">
        <f t="shared" si="12"/>
        <v>2024-06</v>
      </c>
      <c r="Q164" s="21">
        <f t="shared" si="13"/>
        <v>2024</v>
      </c>
      <c r="R164" s="34">
        <f t="shared" si="14"/>
        <v>45444</v>
      </c>
      <c r="S164" s="21">
        <f t="shared" si="15"/>
        <v>0</v>
      </c>
      <c r="T164" s="21" t="str">
        <f t="shared" si="16"/>
        <v>Card-Based</v>
      </c>
      <c r="U164" s="21" t="str">
        <f t="shared" si="17"/>
        <v>One-Time</v>
      </c>
    </row>
    <row r="165" spans="1:21" x14ac:dyDescent="0.3">
      <c r="A165" s="21" t="s">
        <v>662</v>
      </c>
      <c r="B165" s="21">
        <v>308373</v>
      </c>
      <c r="C165" s="21" t="s">
        <v>663</v>
      </c>
      <c r="D165" s="21" t="s">
        <v>664</v>
      </c>
      <c r="E165" s="21" t="s">
        <v>61</v>
      </c>
      <c r="F165" s="21" t="s">
        <v>154</v>
      </c>
      <c r="G165" s="21" t="s">
        <v>122</v>
      </c>
      <c r="H165" s="21" t="s">
        <v>87</v>
      </c>
      <c r="I165" s="21" t="s">
        <v>78</v>
      </c>
      <c r="J165" s="32">
        <v>81438.09</v>
      </c>
      <c r="K165" s="21" t="s">
        <v>69</v>
      </c>
      <c r="L165" s="33">
        <v>45742</v>
      </c>
      <c r="M165" s="21" t="s">
        <v>80</v>
      </c>
      <c r="N165" s="32">
        <v>303737.78000000003</v>
      </c>
      <c r="O165" s="21" t="s">
        <v>150</v>
      </c>
      <c r="P165" s="21" t="str">
        <f t="shared" si="12"/>
        <v>2025-03</v>
      </c>
      <c r="Q165" s="21">
        <f t="shared" si="13"/>
        <v>2025</v>
      </c>
      <c r="R165" s="34">
        <f t="shared" si="14"/>
        <v>45717</v>
      </c>
      <c r="S165" s="21">
        <f t="shared" si="15"/>
        <v>0</v>
      </c>
      <c r="T165" s="21" t="str">
        <f t="shared" si="16"/>
        <v>Card-Based</v>
      </c>
      <c r="U165" s="21" t="str">
        <f t="shared" si="17"/>
        <v>One-Time</v>
      </c>
    </row>
    <row r="166" spans="1:21" x14ac:dyDescent="0.3">
      <c r="A166" s="21" t="s">
        <v>665</v>
      </c>
      <c r="B166" s="21">
        <v>382042</v>
      </c>
      <c r="C166" s="21" t="s">
        <v>666</v>
      </c>
      <c r="D166" s="21" t="s">
        <v>667</v>
      </c>
      <c r="E166" s="21" t="s">
        <v>61</v>
      </c>
      <c r="F166" s="21" t="s">
        <v>154</v>
      </c>
      <c r="G166" s="21" t="s">
        <v>122</v>
      </c>
      <c r="H166" s="21" t="s">
        <v>88</v>
      </c>
      <c r="I166" s="21" t="s">
        <v>77</v>
      </c>
      <c r="J166" s="32">
        <v>24609.7</v>
      </c>
      <c r="K166" s="21" t="s">
        <v>71</v>
      </c>
      <c r="L166" s="33">
        <v>45525</v>
      </c>
      <c r="M166" s="21" t="s">
        <v>80</v>
      </c>
      <c r="N166" s="32">
        <v>464560.08</v>
      </c>
      <c r="O166" s="21" t="s">
        <v>150</v>
      </c>
      <c r="P166" s="21" t="str">
        <f t="shared" si="12"/>
        <v>2024-08</v>
      </c>
      <c r="Q166" s="21">
        <f t="shared" si="13"/>
        <v>2024</v>
      </c>
      <c r="R166" s="34">
        <f t="shared" si="14"/>
        <v>45505</v>
      </c>
      <c r="S166" s="21">
        <f t="shared" si="15"/>
        <v>0</v>
      </c>
      <c r="T166" s="21" t="str">
        <f t="shared" si="16"/>
        <v>Digital</v>
      </c>
      <c r="U166" s="21" t="str">
        <f t="shared" si="17"/>
        <v>One-Time</v>
      </c>
    </row>
    <row r="167" spans="1:21" x14ac:dyDescent="0.3">
      <c r="A167" s="21" t="s">
        <v>668</v>
      </c>
      <c r="B167" s="21">
        <v>841087</v>
      </c>
      <c r="C167" s="21" t="s">
        <v>669</v>
      </c>
      <c r="D167" s="21" t="s">
        <v>670</v>
      </c>
      <c r="E167" s="21" t="s">
        <v>62</v>
      </c>
      <c r="F167" s="21" t="s">
        <v>275</v>
      </c>
      <c r="G167" s="21" t="s">
        <v>109</v>
      </c>
      <c r="H167" s="21" t="s">
        <v>87</v>
      </c>
      <c r="I167" s="21" t="s">
        <v>77</v>
      </c>
      <c r="J167" s="32">
        <v>80691.649999999994</v>
      </c>
      <c r="K167" s="21" t="s">
        <v>70</v>
      </c>
      <c r="L167" s="33">
        <v>45621</v>
      </c>
      <c r="M167" s="21" t="s">
        <v>80</v>
      </c>
      <c r="N167" s="32">
        <v>1504466.62</v>
      </c>
      <c r="O167" s="21" t="s">
        <v>150</v>
      </c>
      <c r="P167" s="21" t="str">
        <f t="shared" si="12"/>
        <v>2024-11</v>
      </c>
      <c r="Q167" s="21">
        <f t="shared" si="13"/>
        <v>2024</v>
      </c>
      <c r="R167" s="34">
        <f t="shared" si="14"/>
        <v>45597</v>
      </c>
      <c r="S167" s="21">
        <f t="shared" si="15"/>
        <v>0</v>
      </c>
      <c r="T167" s="21" t="str">
        <f t="shared" si="16"/>
        <v>Card-Based</v>
      </c>
      <c r="U167" s="21" t="str">
        <f t="shared" si="17"/>
        <v>One-Time</v>
      </c>
    </row>
    <row r="168" spans="1:21" x14ac:dyDescent="0.3">
      <c r="A168" s="21" t="s">
        <v>671</v>
      </c>
      <c r="B168" s="21">
        <v>453621</v>
      </c>
      <c r="C168" s="21" t="s">
        <v>672</v>
      </c>
      <c r="D168" s="21" t="s">
        <v>673</v>
      </c>
      <c r="E168" s="21" t="s">
        <v>60</v>
      </c>
      <c r="F168" s="21" t="s">
        <v>166</v>
      </c>
      <c r="G168" s="21" t="s">
        <v>107</v>
      </c>
      <c r="H168" s="21" t="s">
        <v>86</v>
      </c>
      <c r="I168" s="21" t="s">
        <v>77</v>
      </c>
      <c r="J168" s="32">
        <v>86333.22</v>
      </c>
      <c r="K168" s="21" t="s">
        <v>69</v>
      </c>
      <c r="L168" s="33">
        <v>45833</v>
      </c>
      <c r="M168" s="21" t="s">
        <v>80</v>
      </c>
      <c r="N168" s="32">
        <v>173826.27</v>
      </c>
      <c r="O168" s="21" t="s">
        <v>150</v>
      </c>
      <c r="P168" s="21" t="str">
        <f t="shared" si="12"/>
        <v>2025-06</v>
      </c>
      <c r="Q168" s="21">
        <f t="shared" si="13"/>
        <v>2025</v>
      </c>
      <c r="R168" s="34">
        <f t="shared" si="14"/>
        <v>45809</v>
      </c>
      <c r="S168" s="21">
        <f t="shared" si="15"/>
        <v>0</v>
      </c>
      <c r="T168" s="21" t="str">
        <f t="shared" si="16"/>
        <v>Card-Based</v>
      </c>
      <c r="U168" s="21" t="str">
        <f t="shared" si="17"/>
        <v>One-Time</v>
      </c>
    </row>
    <row r="169" spans="1:21" x14ac:dyDescent="0.3">
      <c r="A169" s="21" t="s">
        <v>674</v>
      </c>
      <c r="B169" s="21">
        <v>194555</v>
      </c>
      <c r="C169" s="21" t="s">
        <v>675</v>
      </c>
      <c r="D169" s="21" t="s">
        <v>676</v>
      </c>
      <c r="E169" s="21" t="s">
        <v>60</v>
      </c>
      <c r="F169" s="21" t="s">
        <v>149</v>
      </c>
      <c r="G169" s="21" t="s">
        <v>119</v>
      </c>
      <c r="H169" s="21" t="s">
        <v>86</v>
      </c>
      <c r="I169" s="21" t="s">
        <v>75</v>
      </c>
      <c r="J169" s="32">
        <v>121786.38</v>
      </c>
      <c r="K169" s="21" t="s">
        <v>72</v>
      </c>
      <c r="L169" s="33">
        <v>45423</v>
      </c>
      <c r="M169" s="21" t="s">
        <v>81</v>
      </c>
      <c r="N169" s="32">
        <v>1986716.88</v>
      </c>
      <c r="O169" s="21" t="s">
        <v>150</v>
      </c>
      <c r="P169" s="21" t="str">
        <f t="shared" si="12"/>
        <v>2024-05</v>
      </c>
      <c r="Q169" s="21">
        <f t="shared" si="13"/>
        <v>2024</v>
      </c>
      <c r="R169" s="34">
        <f t="shared" si="14"/>
        <v>45413</v>
      </c>
      <c r="S169" s="21">
        <f t="shared" si="15"/>
        <v>0</v>
      </c>
      <c r="T169" s="21" t="str">
        <f t="shared" si="16"/>
        <v>Cash-Based</v>
      </c>
      <c r="U169" s="21" t="str">
        <f t="shared" si="17"/>
        <v>One-Time</v>
      </c>
    </row>
    <row r="170" spans="1:21" x14ac:dyDescent="0.3">
      <c r="A170" s="21" t="s">
        <v>677</v>
      </c>
      <c r="B170" s="21">
        <v>770075</v>
      </c>
      <c r="C170" s="21" t="s">
        <v>678</v>
      </c>
      <c r="D170" s="21" t="s">
        <v>679</v>
      </c>
      <c r="E170" s="21" t="s">
        <v>60</v>
      </c>
      <c r="F170" s="21" t="s">
        <v>149</v>
      </c>
      <c r="G170" s="21" t="s">
        <v>119</v>
      </c>
      <c r="H170" s="21" t="s">
        <v>88</v>
      </c>
      <c r="I170" s="21" t="s">
        <v>75</v>
      </c>
      <c r="J170" s="32">
        <v>130110.38</v>
      </c>
      <c r="K170" s="21" t="s">
        <v>69</v>
      </c>
      <c r="L170" s="33">
        <v>45565</v>
      </c>
      <c r="M170" s="21" t="s">
        <v>80</v>
      </c>
      <c r="N170" s="32">
        <v>1443432.25</v>
      </c>
      <c r="O170" s="21" t="s">
        <v>150</v>
      </c>
      <c r="P170" s="21" t="str">
        <f t="shared" si="12"/>
        <v>2024-09</v>
      </c>
      <c r="Q170" s="21">
        <f t="shared" si="13"/>
        <v>2024</v>
      </c>
      <c r="R170" s="34">
        <f t="shared" si="14"/>
        <v>45536</v>
      </c>
      <c r="S170" s="21">
        <f t="shared" si="15"/>
        <v>0</v>
      </c>
      <c r="T170" s="21" t="str">
        <f t="shared" si="16"/>
        <v>Card-Based</v>
      </c>
      <c r="U170" s="21" t="str">
        <f t="shared" si="17"/>
        <v>One-Time</v>
      </c>
    </row>
    <row r="171" spans="1:21" x14ac:dyDescent="0.3">
      <c r="A171" s="21" t="s">
        <v>680</v>
      </c>
      <c r="B171" s="21">
        <v>829378</v>
      </c>
      <c r="C171" s="21" t="s">
        <v>681</v>
      </c>
      <c r="D171" s="21" t="s">
        <v>682</v>
      </c>
      <c r="E171" s="21" t="s">
        <v>63</v>
      </c>
      <c r="F171" s="21" t="s">
        <v>227</v>
      </c>
      <c r="G171" s="21" t="s">
        <v>118</v>
      </c>
      <c r="H171" s="21" t="s">
        <v>88</v>
      </c>
      <c r="I171" s="21" t="s">
        <v>78</v>
      </c>
      <c r="J171" s="32">
        <v>585632.02</v>
      </c>
      <c r="K171" s="21" t="s">
        <v>69</v>
      </c>
      <c r="L171" s="33">
        <v>45303</v>
      </c>
      <c r="M171" s="21" t="s">
        <v>80</v>
      </c>
      <c r="N171" s="32">
        <v>1709477.05</v>
      </c>
      <c r="O171" s="21" t="s">
        <v>150</v>
      </c>
      <c r="P171" s="21" t="str">
        <f t="shared" si="12"/>
        <v>2024-01</v>
      </c>
      <c r="Q171" s="21">
        <f t="shared" si="13"/>
        <v>2024</v>
      </c>
      <c r="R171" s="34">
        <f t="shared" si="14"/>
        <v>45292</v>
      </c>
      <c r="S171" s="21">
        <f t="shared" si="15"/>
        <v>0</v>
      </c>
      <c r="T171" s="21" t="str">
        <f t="shared" si="16"/>
        <v>Card-Based</v>
      </c>
      <c r="U171" s="21" t="str">
        <f t="shared" si="17"/>
        <v>One-Time</v>
      </c>
    </row>
    <row r="172" spans="1:21" x14ac:dyDescent="0.3">
      <c r="A172" s="21" t="s">
        <v>683</v>
      </c>
      <c r="B172" s="21">
        <v>987879</v>
      </c>
      <c r="C172" s="21" t="s">
        <v>684</v>
      </c>
      <c r="D172" s="21" t="s">
        <v>685</v>
      </c>
      <c r="E172" s="21" t="s">
        <v>64</v>
      </c>
      <c r="F172" s="21" t="s">
        <v>158</v>
      </c>
      <c r="G172" s="21" t="s">
        <v>108</v>
      </c>
      <c r="H172" s="21" t="s">
        <v>86</v>
      </c>
      <c r="I172" s="21" t="s">
        <v>77</v>
      </c>
      <c r="J172" s="32">
        <v>13739.75</v>
      </c>
      <c r="K172" s="21" t="s">
        <v>71</v>
      </c>
      <c r="L172" s="33">
        <v>45818</v>
      </c>
      <c r="M172" s="21" t="s">
        <v>80</v>
      </c>
      <c r="N172" s="32">
        <v>1443259.36</v>
      </c>
      <c r="O172" s="21" t="s">
        <v>150</v>
      </c>
      <c r="P172" s="21" t="str">
        <f t="shared" si="12"/>
        <v>2025-06</v>
      </c>
      <c r="Q172" s="21">
        <f t="shared" si="13"/>
        <v>2025</v>
      </c>
      <c r="R172" s="34">
        <f t="shared" si="14"/>
        <v>45809</v>
      </c>
      <c r="S172" s="21">
        <f t="shared" si="15"/>
        <v>0</v>
      </c>
      <c r="T172" s="21" t="str">
        <f t="shared" si="16"/>
        <v>Digital</v>
      </c>
      <c r="U172" s="21" t="str">
        <f t="shared" si="17"/>
        <v>One-Time</v>
      </c>
    </row>
    <row r="173" spans="1:21" x14ac:dyDescent="0.3">
      <c r="A173" s="21" t="s">
        <v>686</v>
      </c>
      <c r="B173" s="21">
        <v>232569</v>
      </c>
      <c r="C173" s="21" t="s">
        <v>687</v>
      </c>
      <c r="D173" s="21" t="s">
        <v>688</v>
      </c>
      <c r="E173" s="21" t="s">
        <v>60</v>
      </c>
      <c r="F173" s="21" t="s">
        <v>149</v>
      </c>
      <c r="G173" s="21" t="s">
        <v>119</v>
      </c>
      <c r="H173" s="21" t="s">
        <v>88</v>
      </c>
      <c r="I173" s="21" t="s">
        <v>76</v>
      </c>
      <c r="J173" s="32">
        <v>217678.95</v>
      </c>
      <c r="K173" s="21" t="s">
        <v>69</v>
      </c>
      <c r="L173" s="33">
        <v>45278</v>
      </c>
      <c r="M173" s="21" t="s">
        <v>80</v>
      </c>
      <c r="N173" s="32">
        <v>1325870.71</v>
      </c>
      <c r="O173" s="21" t="s">
        <v>150</v>
      </c>
      <c r="P173" s="21" t="str">
        <f t="shared" si="12"/>
        <v>2023-12</v>
      </c>
      <c r="Q173" s="21">
        <f t="shared" si="13"/>
        <v>2023</v>
      </c>
      <c r="R173" s="34">
        <f t="shared" si="14"/>
        <v>45261</v>
      </c>
      <c r="S173" s="21">
        <f t="shared" si="15"/>
        <v>0</v>
      </c>
      <c r="T173" s="21" t="str">
        <f t="shared" si="16"/>
        <v>Card-Based</v>
      </c>
      <c r="U173" s="21" t="str">
        <f t="shared" si="17"/>
        <v>One-Time</v>
      </c>
    </row>
    <row r="174" spans="1:21" x14ac:dyDescent="0.3">
      <c r="A174" s="21" t="s">
        <v>689</v>
      </c>
      <c r="B174" s="21">
        <v>287130</v>
      </c>
      <c r="C174" s="21" t="s">
        <v>690</v>
      </c>
      <c r="D174" s="21" t="s">
        <v>691</v>
      </c>
      <c r="E174" s="21" t="s">
        <v>60</v>
      </c>
      <c r="F174" s="21" t="s">
        <v>203</v>
      </c>
      <c r="G174" s="21" t="s">
        <v>128</v>
      </c>
      <c r="H174" s="21" t="s">
        <v>89</v>
      </c>
      <c r="I174" s="21" t="s">
        <v>75</v>
      </c>
      <c r="J174" s="32">
        <v>241267.85</v>
      </c>
      <c r="K174" s="21" t="s">
        <v>71</v>
      </c>
      <c r="L174" s="33">
        <v>45302</v>
      </c>
      <c r="M174" s="21" t="s">
        <v>80</v>
      </c>
      <c r="N174" s="32">
        <v>614510.72</v>
      </c>
      <c r="O174" s="21" t="s">
        <v>150</v>
      </c>
      <c r="P174" s="21" t="str">
        <f t="shared" si="12"/>
        <v>2024-01</v>
      </c>
      <c r="Q174" s="21">
        <f t="shared" si="13"/>
        <v>2024</v>
      </c>
      <c r="R174" s="34">
        <f t="shared" si="14"/>
        <v>45292</v>
      </c>
      <c r="S174" s="21">
        <f t="shared" si="15"/>
        <v>0</v>
      </c>
      <c r="T174" s="21" t="str">
        <f t="shared" si="16"/>
        <v>Digital</v>
      </c>
      <c r="U174" s="21" t="str">
        <f t="shared" si="17"/>
        <v>One-Time</v>
      </c>
    </row>
    <row r="175" spans="1:21" x14ac:dyDescent="0.3">
      <c r="A175" s="21" t="s">
        <v>692</v>
      </c>
      <c r="B175" s="21">
        <v>273869</v>
      </c>
      <c r="C175" s="21" t="s">
        <v>693</v>
      </c>
      <c r="D175" s="21" t="s">
        <v>694</v>
      </c>
      <c r="E175" s="21" t="s">
        <v>63</v>
      </c>
      <c r="F175" s="21" t="s">
        <v>207</v>
      </c>
      <c r="G175" s="21" t="s">
        <v>127</v>
      </c>
      <c r="H175" s="21" t="s">
        <v>87</v>
      </c>
      <c r="I175" s="21" t="s">
        <v>75</v>
      </c>
      <c r="J175" s="32">
        <v>282229.52</v>
      </c>
      <c r="K175" s="21" t="s">
        <v>69</v>
      </c>
      <c r="L175" s="33">
        <v>45634</v>
      </c>
      <c r="M175" s="21" t="s">
        <v>80</v>
      </c>
      <c r="N175" s="32">
        <v>2278673.0299999998</v>
      </c>
      <c r="O175" s="21" t="s">
        <v>150</v>
      </c>
      <c r="P175" s="21" t="str">
        <f t="shared" si="12"/>
        <v>2024-12</v>
      </c>
      <c r="Q175" s="21">
        <f t="shared" si="13"/>
        <v>2024</v>
      </c>
      <c r="R175" s="34">
        <f t="shared" si="14"/>
        <v>45627</v>
      </c>
      <c r="S175" s="21">
        <f t="shared" si="15"/>
        <v>0</v>
      </c>
      <c r="T175" s="21" t="str">
        <f t="shared" si="16"/>
        <v>Card-Based</v>
      </c>
      <c r="U175" s="21" t="str">
        <f t="shared" si="17"/>
        <v>One-Time</v>
      </c>
    </row>
    <row r="176" spans="1:21" x14ac:dyDescent="0.3">
      <c r="A176" s="21" t="s">
        <v>695</v>
      </c>
      <c r="B176" s="21">
        <v>533366</v>
      </c>
      <c r="C176" s="21" t="s">
        <v>696</v>
      </c>
      <c r="D176" s="21" t="s">
        <v>697</v>
      </c>
      <c r="E176" s="21" t="s">
        <v>63</v>
      </c>
      <c r="F176" s="21" t="s">
        <v>207</v>
      </c>
      <c r="G176" s="21" t="s">
        <v>127</v>
      </c>
      <c r="H176" s="21" t="s">
        <v>87</v>
      </c>
      <c r="I176" s="21" t="s">
        <v>76</v>
      </c>
      <c r="J176" s="32">
        <v>45405.21</v>
      </c>
      <c r="K176" s="21" t="s">
        <v>71</v>
      </c>
      <c r="L176" s="33">
        <v>45811</v>
      </c>
      <c r="M176" s="21" t="s">
        <v>80</v>
      </c>
      <c r="N176" s="32">
        <v>580928.07999999996</v>
      </c>
      <c r="O176" s="21" t="s">
        <v>150</v>
      </c>
      <c r="P176" s="21" t="str">
        <f t="shared" si="12"/>
        <v>2025-06</v>
      </c>
      <c r="Q176" s="21">
        <f t="shared" si="13"/>
        <v>2025</v>
      </c>
      <c r="R176" s="34">
        <f t="shared" si="14"/>
        <v>45809</v>
      </c>
      <c r="S176" s="21">
        <f t="shared" si="15"/>
        <v>0</v>
      </c>
      <c r="T176" s="21" t="str">
        <f t="shared" si="16"/>
        <v>Digital</v>
      </c>
      <c r="U176" s="21" t="str">
        <f t="shared" si="17"/>
        <v>One-Time</v>
      </c>
    </row>
    <row r="177" spans="1:21" x14ac:dyDescent="0.3">
      <c r="A177" s="21" t="s">
        <v>698</v>
      </c>
      <c r="B177" s="21">
        <v>392320</v>
      </c>
      <c r="C177" s="21" t="s">
        <v>699</v>
      </c>
      <c r="D177" s="21" t="s">
        <v>700</v>
      </c>
      <c r="E177" s="21" t="s">
        <v>62</v>
      </c>
      <c r="F177" s="21" t="s">
        <v>199</v>
      </c>
      <c r="G177" s="21" t="s">
        <v>120</v>
      </c>
      <c r="H177" s="21" t="s">
        <v>89</v>
      </c>
      <c r="I177" s="21" t="s">
        <v>78</v>
      </c>
      <c r="J177" s="32">
        <v>212526.68</v>
      </c>
      <c r="K177" s="21" t="s">
        <v>68</v>
      </c>
      <c r="L177" s="33">
        <v>45682</v>
      </c>
      <c r="M177" s="21" t="s">
        <v>80</v>
      </c>
      <c r="N177" s="32">
        <v>602494.71</v>
      </c>
      <c r="O177" s="21" t="s">
        <v>150</v>
      </c>
      <c r="P177" s="21" t="str">
        <f t="shared" si="12"/>
        <v>2025-01</v>
      </c>
      <c r="Q177" s="21">
        <f t="shared" si="13"/>
        <v>2025</v>
      </c>
      <c r="R177" s="34">
        <f t="shared" si="14"/>
        <v>45658</v>
      </c>
      <c r="S177" s="21">
        <f t="shared" si="15"/>
        <v>0</v>
      </c>
      <c r="T177" s="21" t="str">
        <f t="shared" si="16"/>
        <v>Digital</v>
      </c>
      <c r="U177" s="21" t="str">
        <f t="shared" si="17"/>
        <v>One-Time</v>
      </c>
    </row>
    <row r="178" spans="1:21" x14ac:dyDescent="0.3">
      <c r="A178" s="21" t="s">
        <v>701</v>
      </c>
      <c r="B178" s="21">
        <v>489951</v>
      </c>
      <c r="C178" s="21" t="s">
        <v>702</v>
      </c>
      <c r="D178" s="21" t="s">
        <v>703</v>
      </c>
      <c r="E178" s="21" t="s">
        <v>64</v>
      </c>
      <c r="F178" s="21" t="s">
        <v>262</v>
      </c>
      <c r="G178" s="21" t="s">
        <v>131</v>
      </c>
      <c r="H178" s="21" t="s">
        <v>87</v>
      </c>
      <c r="I178" s="21" t="s">
        <v>76</v>
      </c>
      <c r="J178" s="32">
        <v>338467.95</v>
      </c>
      <c r="K178" s="21" t="s">
        <v>72</v>
      </c>
      <c r="L178" s="33">
        <v>45665</v>
      </c>
      <c r="M178" s="21" t="s">
        <v>80</v>
      </c>
      <c r="N178" s="32">
        <v>847748.51</v>
      </c>
      <c r="O178" s="21" t="s">
        <v>150</v>
      </c>
      <c r="P178" s="21" t="str">
        <f t="shared" si="12"/>
        <v>2025-01</v>
      </c>
      <c r="Q178" s="21">
        <f t="shared" si="13"/>
        <v>2025</v>
      </c>
      <c r="R178" s="34">
        <f t="shared" si="14"/>
        <v>45658</v>
      </c>
      <c r="S178" s="21">
        <f t="shared" si="15"/>
        <v>0</v>
      </c>
      <c r="T178" s="21" t="str">
        <f t="shared" si="16"/>
        <v>Cash-Based</v>
      </c>
      <c r="U178" s="21" t="str">
        <f t="shared" si="17"/>
        <v>One-Time</v>
      </c>
    </row>
    <row r="179" spans="1:21" x14ac:dyDescent="0.3">
      <c r="A179" s="21" t="s">
        <v>704</v>
      </c>
      <c r="B179" s="21">
        <v>182090</v>
      </c>
      <c r="C179" s="21" t="s">
        <v>705</v>
      </c>
      <c r="D179" s="21" t="s">
        <v>706</v>
      </c>
      <c r="E179" s="21" t="s">
        <v>63</v>
      </c>
      <c r="F179" s="21" t="s">
        <v>223</v>
      </c>
      <c r="G179" s="21" t="s">
        <v>129</v>
      </c>
      <c r="H179" s="21" t="s">
        <v>87</v>
      </c>
      <c r="I179" s="21" t="s">
        <v>76</v>
      </c>
      <c r="J179" s="32">
        <v>144290.97</v>
      </c>
      <c r="K179" s="21" t="s">
        <v>71</v>
      </c>
      <c r="L179" s="33">
        <v>45344</v>
      </c>
      <c r="M179" s="21" t="s">
        <v>80</v>
      </c>
      <c r="N179" s="32">
        <v>1516905.19</v>
      </c>
      <c r="O179" s="21" t="s">
        <v>150</v>
      </c>
      <c r="P179" s="21" t="str">
        <f t="shared" si="12"/>
        <v>2024-02</v>
      </c>
      <c r="Q179" s="21">
        <f t="shared" si="13"/>
        <v>2024</v>
      </c>
      <c r="R179" s="34">
        <f t="shared" si="14"/>
        <v>45323</v>
      </c>
      <c r="S179" s="21">
        <f t="shared" si="15"/>
        <v>0</v>
      </c>
      <c r="T179" s="21" t="str">
        <f t="shared" si="16"/>
        <v>Digital</v>
      </c>
      <c r="U179" s="21" t="str">
        <f t="shared" si="17"/>
        <v>One-Time</v>
      </c>
    </row>
    <row r="180" spans="1:21" x14ac:dyDescent="0.3">
      <c r="A180" s="21" t="s">
        <v>707</v>
      </c>
      <c r="B180" s="21">
        <v>861891</v>
      </c>
      <c r="C180" s="21" t="s">
        <v>708</v>
      </c>
      <c r="D180" s="21" t="s">
        <v>709</v>
      </c>
      <c r="E180" s="21" t="s">
        <v>62</v>
      </c>
      <c r="F180" s="21" t="s">
        <v>199</v>
      </c>
      <c r="G180" s="21" t="s">
        <v>120</v>
      </c>
      <c r="H180" s="21" t="s">
        <v>87</v>
      </c>
      <c r="I180" s="21" t="s">
        <v>76</v>
      </c>
      <c r="J180" s="32">
        <v>34188.99</v>
      </c>
      <c r="K180" s="21" t="s">
        <v>72</v>
      </c>
      <c r="L180" s="33">
        <v>45333</v>
      </c>
      <c r="M180" s="21" t="s">
        <v>80</v>
      </c>
      <c r="N180" s="32">
        <v>320795.43</v>
      </c>
      <c r="O180" s="21" t="s">
        <v>150</v>
      </c>
      <c r="P180" s="21" t="str">
        <f t="shared" si="12"/>
        <v>2024-02</v>
      </c>
      <c r="Q180" s="21">
        <f t="shared" si="13"/>
        <v>2024</v>
      </c>
      <c r="R180" s="34">
        <f t="shared" si="14"/>
        <v>45323</v>
      </c>
      <c r="S180" s="21">
        <f t="shared" si="15"/>
        <v>0</v>
      </c>
      <c r="T180" s="21" t="str">
        <f t="shared" si="16"/>
        <v>Cash-Based</v>
      </c>
      <c r="U180" s="21" t="str">
        <f t="shared" si="17"/>
        <v>One-Time</v>
      </c>
    </row>
    <row r="181" spans="1:21" x14ac:dyDescent="0.3">
      <c r="A181" s="21" t="s">
        <v>710</v>
      </c>
      <c r="B181" s="21">
        <v>915152</v>
      </c>
      <c r="C181" s="21" t="s">
        <v>711</v>
      </c>
      <c r="D181" s="21" t="s">
        <v>712</v>
      </c>
      <c r="E181" s="21" t="s">
        <v>62</v>
      </c>
      <c r="F181" s="21" t="s">
        <v>297</v>
      </c>
      <c r="G181" s="21" t="s">
        <v>111</v>
      </c>
      <c r="H181" s="21" t="s">
        <v>86</v>
      </c>
      <c r="I181" s="21" t="s">
        <v>77</v>
      </c>
      <c r="J181" s="32">
        <v>82302.03</v>
      </c>
      <c r="K181" s="21" t="s">
        <v>70</v>
      </c>
      <c r="L181" s="33">
        <v>45573</v>
      </c>
      <c r="M181" s="21" t="s">
        <v>80</v>
      </c>
      <c r="N181" s="32">
        <v>1644815.09</v>
      </c>
      <c r="O181" s="21" t="s">
        <v>150</v>
      </c>
      <c r="P181" s="21" t="str">
        <f t="shared" si="12"/>
        <v>2024-10</v>
      </c>
      <c r="Q181" s="21">
        <f t="shared" si="13"/>
        <v>2024</v>
      </c>
      <c r="R181" s="34">
        <f t="shared" si="14"/>
        <v>45566</v>
      </c>
      <c r="S181" s="21">
        <f t="shared" si="15"/>
        <v>0</v>
      </c>
      <c r="T181" s="21" t="str">
        <f t="shared" si="16"/>
        <v>Card-Based</v>
      </c>
      <c r="U181" s="21" t="str">
        <f t="shared" si="17"/>
        <v>One-Time</v>
      </c>
    </row>
    <row r="182" spans="1:21" x14ac:dyDescent="0.3">
      <c r="A182" s="21" t="s">
        <v>713</v>
      </c>
      <c r="B182" s="21">
        <v>955248</v>
      </c>
      <c r="C182" s="21" t="s">
        <v>714</v>
      </c>
      <c r="D182" s="21" t="s">
        <v>715</v>
      </c>
      <c r="E182" s="21" t="s">
        <v>64</v>
      </c>
      <c r="F182" s="21" t="s">
        <v>177</v>
      </c>
      <c r="G182" s="21" t="s">
        <v>113</v>
      </c>
      <c r="H182" s="21" t="s">
        <v>86</v>
      </c>
      <c r="I182" s="21" t="s">
        <v>76</v>
      </c>
      <c r="J182" s="32">
        <v>333457.7</v>
      </c>
      <c r="K182" s="21" t="s">
        <v>70</v>
      </c>
      <c r="L182" s="33">
        <v>45666</v>
      </c>
      <c r="M182" s="21" t="s">
        <v>83</v>
      </c>
      <c r="N182" s="32">
        <v>1971539.37</v>
      </c>
      <c r="O182" s="21" t="s">
        <v>150</v>
      </c>
      <c r="P182" s="21" t="str">
        <f t="shared" si="12"/>
        <v>2025-01</v>
      </c>
      <c r="Q182" s="21">
        <f t="shared" si="13"/>
        <v>2025</v>
      </c>
      <c r="R182" s="34">
        <f t="shared" si="14"/>
        <v>45658</v>
      </c>
      <c r="S182" s="21">
        <f t="shared" si="15"/>
        <v>0</v>
      </c>
      <c r="T182" s="21" t="str">
        <f t="shared" si="16"/>
        <v>Card-Based</v>
      </c>
      <c r="U182" s="21" t="str">
        <f t="shared" si="17"/>
        <v>One-Time</v>
      </c>
    </row>
    <row r="183" spans="1:21" x14ac:dyDescent="0.3">
      <c r="A183" s="21" t="s">
        <v>716</v>
      </c>
      <c r="B183" s="21">
        <v>102739</v>
      </c>
      <c r="C183" s="21" t="s">
        <v>717</v>
      </c>
      <c r="D183" s="21" t="s">
        <v>718</v>
      </c>
      <c r="E183" s="21" t="s">
        <v>60</v>
      </c>
      <c r="F183" s="21" t="s">
        <v>286</v>
      </c>
      <c r="G183" s="21" t="s">
        <v>124</v>
      </c>
      <c r="H183" s="21" t="s">
        <v>86</v>
      </c>
      <c r="I183" s="21" t="s">
        <v>77</v>
      </c>
      <c r="J183" s="32">
        <v>129936.35</v>
      </c>
      <c r="K183" s="21" t="s">
        <v>72</v>
      </c>
      <c r="L183" s="33">
        <v>45166</v>
      </c>
      <c r="M183" s="21" t="s">
        <v>80</v>
      </c>
      <c r="N183" s="32">
        <v>110612.71</v>
      </c>
      <c r="O183" s="21" t="s">
        <v>150</v>
      </c>
      <c r="P183" s="21" t="str">
        <f t="shared" si="12"/>
        <v>2023-08</v>
      </c>
      <c r="Q183" s="21">
        <f t="shared" si="13"/>
        <v>2023</v>
      </c>
      <c r="R183" s="34">
        <f t="shared" si="14"/>
        <v>45139</v>
      </c>
      <c r="S183" s="21">
        <f t="shared" si="15"/>
        <v>0</v>
      </c>
      <c r="T183" s="21" t="str">
        <f t="shared" si="16"/>
        <v>Cash-Based</v>
      </c>
      <c r="U183" s="21" t="str">
        <f t="shared" si="17"/>
        <v>One-Time</v>
      </c>
    </row>
    <row r="184" spans="1:21" x14ac:dyDescent="0.3">
      <c r="A184" s="21" t="s">
        <v>719</v>
      </c>
      <c r="B184" s="21">
        <v>870440</v>
      </c>
      <c r="C184" s="21" t="s">
        <v>720</v>
      </c>
      <c r="D184" s="21" t="s">
        <v>721</v>
      </c>
      <c r="E184" s="21" t="s">
        <v>61</v>
      </c>
      <c r="F184" s="21" t="s">
        <v>279</v>
      </c>
      <c r="G184" s="21" t="s">
        <v>125</v>
      </c>
      <c r="H184" s="21" t="s">
        <v>86</v>
      </c>
      <c r="I184" s="21" t="s">
        <v>76</v>
      </c>
      <c r="J184" s="32">
        <v>343331.26</v>
      </c>
      <c r="K184" s="21" t="s">
        <v>70</v>
      </c>
      <c r="L184" s="33">
        <v>45834</v>
      </c>
      <c r="M184" s="21" t="s">
        <v>80</v>
      </c>
      <c r="N184" s="32">
        <v>1665408.93</v>
      </c>
      <c r="O184" s="21" t="s">
        <v>150</v>
      </c>
      <c r="P184" s="21" t="str">
        <f t="shared" si="12"/>
        <v>2025-06</v>
      </c>
      <c r="Q184" s="21">
        <f t="shared" si="13"/>
        <v>2025</v>
      </c>
      <c r="R184" s="34">
        <f t="shared" si="14"/>
        <v>45809</v>
      </c>
      <c r="S184" s="21">
        <f t="shared" si="15"/>
        <v>0</v>
      </c>
      <c r="T184" s="21" t="str">
        <f t="shared" si="16"/>
        <v>Card-Based</v>
      </c>
      <c r="U184" s="21" t="str">
        <f t="shared" si="17"/>
        <v>One-Time</v>
      </c>
    </row>
    <row r="185" spans="1:21" x14ac:dyDescent="0.3">
      <c r="A185" s="21" t="s">
        <v>722</v>
      </c>
      <c r="B185" s="21">
        <v>568609</v>
      </c>
      <c r="C185" s="21" t="s">
        <v>723</v>
      </c>
      <c r="D185" s="21" t="s">
        <v>724</v>
      </c>
      <c r="E185" s="21" t="s">
        <v>64</v>
      </c>
      <c r="F185" s="21" t="s">
        <v>177</v>
      </c>
      <c r="G185" s="21" t="s">
        <v>113</v>
      </c>
      <c r="H185" s="21" t="s">
        <v>88</v>
      </c>
      <c r="I185" s="21" t="s">
        <v>77</v>
      </c>
      <c r="J185" s="32">
        <v>6580.59</v>
      </c>
      <c r="K185" s="21" t="s">
        <v>69</v>
      </c>
      <c r="L185" s="33">
        <v>45806</v>
      </c>
      <c r="M185" s="21" t="s">
        <v>82</v>
      </c>
      <c r="N185" s="32">
        <v>1643987.43</v>
      </c>
      <c r="O185" s="21" t="s">
        <v>150</v>
      </c>
      <c r="P185" s="21" t="str">
        <f t="shared" si="12"/>
        <v>2025-05</v>
      </c>
      <c r="Q185" s="21">
        <f t="shared" si="13"/>
        <v>2025</v>
      </c>
      <c r="R185" s="34">
        <f t="shared" si="14"/>
        <v>45778</v>
      </c>
      <c r="S185" s="21">
        <f t="shared" si="15"/>
        <v>0</v>
      </c>
      <c r="T185" s="21" t="str">
        <f t="shared" si="16"/>
        <v>Card-Based</v>
      </c>
      <c r="U185" s="21" t="str">
        <f t="shared" si="17"/>
        <v>One-Time</v>
      </c>
    </row>
    <row r="186" spans="1:21" x14ac:dyDescent="0.3">
      <c r="A186" s="21" t="s">
        <v>725</v>
      </c>
      <c r="B186" s="21">
        <v>365649</v>
      </c>
      <c r="C186" s="21" t="s">
        <v>726</v>
      </c>
      <c r="D186" s="21" t="s">
        <v>727</v>
      </c>
      <c r="E186" s="21" t="s">
        <v>62</v>
      </c>
      <c r="F186" s="21" t="s">
        <v>310</v>
      </c>
      <c r="G186" s="21" t="s">
        <v>110</v>
      </c>
      <c r="H186" s="21" t="s">
        <v>88</v>
      </c>
      <c r="I186" s="21" t="s">
        <v>76</v>
      </c>
      <c r="J186" s="32">
        <v>27356.09</v>
      </c>
      <c r="K186" s="21" t="s">
        <v>68</v>
      </c>
      <c r="L186" s="33">
        <v>45509</v>
      </c>
      <c r="M186" s="21" t="s">
        <v>80</v>
      </c>
      <c r="N186" s="32">
        <v>77396.25</v>
      </c>
      <c r="O186" s="21" t="s">
        <v>150</v>
      </c>
      <c r="P186" s="21" t="str">
        <f t="shared" si="12"/>
        <v>2024-08</v>
      </c>
      <c r="Q186" s="21">
        <f t="shared" si="13"/>
        <v>2024</v>
      </c>
      <c r="R186" s="34">
        <f t="shared" si="14"/>
        <v>45505</v>
      </c>
      <c r="S186" s="21">
        <f t="shared" si="15"/>
        <v>0</v>
      </c>
      <c r="T186" s="21" t="str">
        <f t="shared" si="16"/>
        <v>Digital</v>
      </c>
      <c r="U186" s="21" t="str">
        <f t="shared" si="17"/>
        <v>One-Time</v>
      </c>
    </row>
    <row r="187" spans="1:21" x14ac:dyDescent="0.3">
      <c r="A187" s="21" t="s">
        <v>728</v>
      </c>
      <c r="B187" s="21">
        <v>818603</v>
      </c>
      <c r="C187" s="21" t="s">
        <v>729</v>
      </c>
      <c r="D187" s="21" t="s">
        <v>730</v>
      </c>
      <c r="E187" s="21" t="s">
        <v>60</v>
      </c>
      <c r="F187" s="21" t="s">
        <v>173</v>
      </c>
      <c r="G187" s="21" t="s">
        <v>117</v>
      </c>
      <c r="H187" s="21" t="s">
        <v>88</v>
      </c>
      <c r="I187" s="21" t="s">
        <v>78</v>
      </c>
      <c r="J187" s="32">
        <v>259278.23</v>
      </c>
      <c r="K187" s="21" t="s">
        <v>71</v>
      </c>
      <c r="L187" s="33">
        <v>45810</v>
      </c>
      <c r="M187" s="21" t="s">
        <v>81</v>
      </c>
      <c r="N187" s="32">
        <v>1616440.48</v>
      </c>
      <c r="O187" s="21" t="s">
        <v>150</v>
      </c>
      <c r="P187" s="21" t="str">
        <f t="shared" si="12"/>
        <v>2025-06</v>
      </c>
      <c r="Q187" s="21">
        <f t="shared" si="13"/>
        <v>2025</v>
      </c>
      <c r="R187" s="34">
        <f t="shared" si="14"/>
        <v>45809</v>
      </c>
      <c r="S187" s="21">
        <f t="shared" si="15"/>
        <v>0</v>
      </c>
      <c r="T187" s="21" t="str">
        <f t="shared" si="16"/>
        <v>Digital</v>
      </c>
      <c r="U187" s="21" t="str">
        <f t="shared" si="17"/>
        <v>One-Time</v>
      </c>
    </row>
    <row r="188" spans="1:21" x14ac:dyDescent="0.3">
      <c r="A188" s="21" t="s">
        <v>731</v>
      </c>
      <c r="B188" s="21">
        <v>764919</v>
      </c>
      <c r="C188" s="21" t="s">
        <v>732</v>
      </c>
      <c r="D188" s="21" t="s">
        <v>733</v>
      </c>
      <c r="E188" s="21" t="s">
        <v>62</v>
      </c>
      <c r="F188" s="21" t="s">
        <v>297</v>
      </c>
      <c r="G188" s="21" t="s">
        <v>111</v>
      </c>
      <c r="H188" s="21" t="s">
        <v>86</v>
      </c>
      <c r="I188" s="21" t="s">
        <v>76</v>
      </c>
      <c r="J188" s="32">
        <v>102247.08</v>
      </c>
      <c r="K188" s="21" t="s">
        <v>71</v>
      </c>
      <c r="L188" s="33">
        <v>45286</v>
      </c>
      <c r="M188" s="21" t="s">
        <v>80</v>
      </c>
      <c r="N188" s="32">
        <v>1111261.05</v>
      </c>
      <c r="O188" s="21" t="s">
        <v>150</v>
      </c>
      <c r="P188" s="21" t="str">
        <f t="shared" si="12"/>
        <v>2023-12</v>
      </c>
      <c r="Q188" s="21">
        <f t="shared" si="13"/>
        <v>2023</v>
      </c>
      <c r="R188" s="34">
        <f t="shared" si="14"/>
        <v>45261</v>
      </c>
      <c r="S188" s="21">
        <f t="shared" si="15"/>
        <v>0</v>
      </c>
      <c r="T188" s="21" t="str">
        <f t="shared" si="16"/>
        <v>Digital</v>
      </c>
      <c r="U188" s="21" t="str">
        <f t="shared" si="17"/>
        <v>One-Time</v>
      </c>
    </row>
    <row r="189" spans="1:21" x14ac:dyDescent="0.3">
      <c r="A189" s="21" t="s">
        <v>734</v>
      </c>
      <c r="B189" s="21">
        <v>408340</v>
      </c>
      <c r="C189" s="21" t="s">
        <v>735</v>
      </c>
      <c r="D189" s="21" t="s">
        <v>736</v>
      </c>
      <c r="E189" s="21" t="s">
        <v>64</v>
      </c>
      <c r="F189" s="21" t="s">
        <v>177</v>
      </c>
      <c r="G189" s="21" t="s">
        <v>113</v>
      </c>
      <c r="H189" s="21" t="s">
        <v>86</v>
      </c>
      <c r="I189" s="21" t="s">
        <v>77</v>
      </c>
      <c r="J189" s="32">
        <v>94310.27</v>
      </c>
      <c r="K189" s="21" t="s">
        <v>72</v>
      </c>
      <c r="L189" s="33">
        <v>45623</v>
      </c>
      <c r="M189" s="21" t="s">
        <v>80</v>
      </c>
      <c r="N189" s="32">
        <v>144857.48000000001</v>
      </c>
      <c r="O189" s="21" t="s">
        <v>311</v>
      </c>
      <c r="P189" s="21" t="str">
        <f t="shared" si="12"/>
        <v>2024-11</v>
      </c>
      <c r="Q189" s="21">
        <f t="shared" si="13"/>
        <v>2024</v>
      </c>
      <c r="R189" s="34">
        <f t="shared" si="14"/>
        <v>45597</v>
      </c>
      <c r="S189" s="21">
        <f t="shared" si="15"/>
        <v>1</v>
      </c>
      <c r="T189" s="21" t="str">
        <f t="shared" si="16"/>
        <v>Cash-Based</v>
      </c>
      <c r="U189" s="21" t="str">
        <f t="shared" si="17"/>
        <v>One-Time</v>
      </c>
    </row>
    <row r="190" spans="1:21" x14ac:dyDescent="0.3">
      <c r="A190" s="21" t="s">
        <v>737</v>
      </c>
      <c r="B190" s="21">
        <v>599905</v>
      </c>
      <c r="C190" s="21" t="s">
        <v>738</v>
      </c>
      <c r="D190" s="21" t="s">
        <v>739</v>
      </c>
      <c r="E190" s="21" t="s">
        <v>60</v>
      </c>
      <c r="F190" s="21" t="s">
        <v>149</v>
      </c>
      <c r="G190" s="21" t="s">
        <v>119</v>
      </c>
      <c r="H190" s="21" t="s">
        <v>86</v>
      </c>
      <c r="I190" s="21" t="s">
        <v>78</v>
      </c>
      <c r="J190" s="32">
        <v>197642.07</v>
      </c>
      <c r="K190" s="21" t="s">
        <v>68</v>
      </c>
      <c r="L190" s="33">
        <v>45364</v>
      </c>
      <c r="M190" s="21" t="s">
        <v>80</v>
      </c>
      <c r="N190" s="32">
        <v>1385401.9</v>
      </c>
      <c r="O190" s="21" t="s">
        <v>150</v>
      </c>
      <c r="P190" s="21" t="str">
        <f t="shared" si="12"/>
        <v>2024-03</v>
      </c>
      <c r="Q190" s="21">
        <f t="shared" si="13"/>
        <v>2024</v>
      </c>
      <c r="R190" s="34">
        <f t="shared" si="14"/>
        <v>45352</v>
      </c>
      <c r="S190" s="21">
        <f t="shared" si="15"/>
        <v>0</v>
      </c>
      <c r="T190" s="21" t="str">
        <f t="shared" si="16"/>
        <v>Digital</v>
      </c>
      <c r="U190" s="21" t="str">
        <f t="shared" si="17"/>
        <v>One-Time</v>
      </c>
    </row>
    <row r="191" spans="1:21" x14ac:dyDescent="0.3">
      <c r="A191" s="21" t="s">
        <v>740</v>
      </c>
      <c r="B191" s="21">
        <v>185724</v>
      </c>
      <c r="C191" s="21" t="s">
        <v>741</v>
      </c>
      <c r="D191" s="21" t="s">
        <v>742</v>
      </c>
      <c r="E191" s="21" t="s">
        <v>63</v>
      </c>
      <c r="F191" s="21" t="s">
        <v>223</v>
      </c>
      <c r="G191" s="21" t="s">
        <v>129</v>
      </c>
      <c r="H191" s="21" t="s">
        <v>88</v>
      </c>
      <c r="I191" s="21" t="s">
        <v>77</v>
      </c>
      <c r="J191" s="32">
        <v>108609.83</v>
      </c>
      <c r="K191" s="21" t="s">
        <v>71</v>
      </c>
      <c r="L191" s="33">
        <v>45438</v>
      </c>
      <c r="M191" s="21" t="s">
        <v>80</v>
      </c>
      <c r="N191" s="32">
        <v>630301.93000000005</v>
      </c>
      <c r="O191" s="21" t="s">
        <v>150</v>
      </c>
      <c r="P191" s="21" t="str">
        <f t="shared" si="12"/>
        <v>2024-05</v>
      </c>
      <c r="Q191" s="21">
        <f t="shared" si="13"/>
        <v>2024</v>
      </c>
      <c r="R191" s="34">
        <f t="shared" si="14"/>
        <v>45413</v>
      </c>
      <c r="S191" s="21">
        <f t="shared" si="15"/>
        <v>0</v>
      </c>
      <c r="T191" s="21" t="str">
        <f t="shared" si="16"/>
        <v>Digital</v>
      </c>
      <c r="U191" s="21" t="str">
        <f t="shared" si="17"/>
        <v>One-Time</v>
      </c>
    </row>
    <row r="192" spans="1:21" x14ac:dyDescent="0.3">
      <c r="A192" s="21" t="s">
        <v>743</v>
      </c>
      <c r="B192" s="21">
        <v>459857</v>
      </c>
      <c r="C192" s="21" t="s">
        <v>744</v>
      </c>
      <c r="D192" s="21" t="s">
        <v>745</v>
      </c>
      <c r="E192" s="21" t="s">
        <v>64</v>
      </c>
      <c r="F192" s="21" t="s">
        <v>158</v>
      </c>
      <c r="G192" s="21" t="s">
        <v>108</v>
      </c>
      <c r="H192" s="21" t="s">
        <v>88</v>
      </c>
      <c r="I192" s="21" t="s">
        <v>76</v>
      </c>
      <c r="J192" s="32">
        <v>178673.93</v>
      </c>
      <c r="K192" s="21" t="s">
        <v>71</v>
      </c>
      <c r="L192" s="33">
        <v>45785</v>
      </c>
      <c r="M192" s="21" t="s">
        <v>80</v>
      </c>
      <c r="N192" s="32">
        <v>562061.77</v>
      </c>
      <c r="O192" s="21" t="s">
        <v>150</v>
      </c>
      <c r="P192" s="21" t="str">
        <f t="shared" si="12"/>
        <v>2025-05</v>
      </c>
      <c r="Q192" s="21">
        <f t="shared" si="13"/>
        <v>2025</v>
      </c>
      <c r="R192" s="34">
        <f t="shared" si="14"/>
        <v>45778</v>
      </c>
      <c r="S192" s="21">
        <f t="shared" si="15"/>
        <v>0</v>
      </c>
      <c r="T192" s="21" t="str">
        <f t="shared" si="16"/>
        <v>Digital</v>
      </c>
      <c r="U192" s="21" t="str">
        <f t="shared" si="17"/>
        <v>One-Time</v>
      </c>
    </row>
    <row r="193" spans="1:21" x14ac:dyDescent="0.3">
      <c r="A193" s="21" t="s">
        <v>746</v>
      </c>
      <c r="B193" s="21">
        <v>927818</v>
      </c>
      <c r="C193" s="21" t="s">
        <v>747</v>
      </c>
      <c r="D193" s="21" t="s">
        <v>748</v>
      </c>
      <c r="E193" s="21" t="s">
        <v>61</v>
      </c>
      <c r="F193" s="21" t="s">
        <v>154</v>
      </c>
      <c r="G193" s="21" t="s">
        <v>122</v>
      </c>
      <c r="H193" s="21" t="s">
        <v>86</v>
      </c>
      <c r="I193" s="21" t="s">
        <v>76</v>
      </c>
      <c r="J193" s="32">
        <v>274718.28000000003</v>
      </c>
      <c r="K193" s="21" t="s">
        <v>69</v>
      </c>
      <c r="L193" s="33">
        <v>45549</v>
      </c>
      <c r="M193" s="21" t="s">
        <v>80</v>
      </c>
      <c r="N193" s="32">
        <v>1754440.1</v>
      </c>
      <c r="O193" s="21" t="s">
        <v>150</v>
      </c>
      <c r="P193" s="21" t="str">
        <f t="shared" si="12"/>
        <v>2024-09</v>
      </c>
      <c r="Q193" s="21">
        <f t="shared" si="13"/>
        <v>2024</v>
      </c>
      <c r="R193" s="34">
        <f t="shared" si="14"/>
        <v>45536</v>
      </c>
      <c r="S193" s="21">
        <f t="shared" si="15"/>
        <v>0</v>
      </c>
      <c r="T193" s="21" t="str">
        <f t="shared" si="16"/>
        <v>Card-Based</v>
      </c>
      <c r="U193" s="21" t="str">
        <f t="shared" si="17"/>
        <v>One-Time</v>
      </c>
    </row>
    <row r="194" spans="1:21" x14ac:dyDescent="0.3">
      <c r="A194" s="21" t="s">
        <v>749</v>
      </c>
      <c r="B194" s="21">
        <v>569704</v>
      </c>
      <c r="C194" s="21" t="s">
        <v>750</v>
      </c>
      <c r="D194" s="21" t="s">
        <v>751</v>
      </c>
      <c r="E194" s="21" t="s">
        <v>60</v>
      </c>
      <c r="F194" s="21" t="s">
        <v>149</v>
      </c>
      <c r="G194" s="21" t="s">
        <v>119</v>
      </c>
      <c r="H194" s="21" t="s">
        <v>87</v>
      </c>
      <c r="I194" s="21" t="s">
        <v>78</v>
      </c>
      <c r="J194" s="32">
        <v>570945.16</v>
      </c>
      <c r="K194" s="21" t="s">
        <v>71</v>
      </c>
      <c r="L194" s="33">
        <v>45534</v>
      </c>
      <c r="M194" s="21" t="s">
        <v>80</v>
      </c>
      <c r="N194" s="32">
        <v>2282261.11</v>
      </c>
      <c r="O194" s="21" t="s">
        <v>150</v>
      </c>
      <c r="P194" s="21" t="str">
        <f t="shared" ref="P194:P257" si="18">TEXT(L194,"yyyy-mm")</f>
        <v>2024-08</v>
      </c>
      <c r="Q194" s="21">
        <f t="shared" ref="Q194:Q257" si="19">YEAR(L194)</f>
        <v>2024</v>
      </c>
      <c r="R194" s="34">
        <f t="shared" ref="R194:R257" si="20">DATE(YEAR(L194),MONTH(L194),1)</f>
        <v>45505</v>
      </c>
      <c r="S194" s="21">
        <f t="shared" ref="S194:S257" si="21">IF(O194="Yes",1,0)</f>
        <v>0</v>
      </c>
      <c r="T194" s="21" t="str">
        <f t="shared" ref="T194:T257" si="22">IF(OR(K194="UPI",K194="Net Banking"),"Digital",IF(OR(K194="Debit Card",K194="Credit Card"),"Card-Based",IF(K194="Cash","Cash-Based","Unknown")))</f>
        <v>Digital</v>
      </c>
      <c r="U194" s="21" t="str">
        <f t="shared" ref="U194:U257" si="23">IF(COUNTIF($B$2:$B$501,B194)&gt;1,"Frequent","One-Time")</f>
        <v>One-Time</v>
      </c>
    </row>
    <row r="195" spans="1:21" x14ac:dyDescent="0.3">
      <c r="A195" s="21" t="s">
        <v>752</v>
      </c>
      <c r="B195" s="21">
        <v>930330</v>
      </c>
      <c r="C195" s="21" t="s">
        <v>753</v>
      </c>
      <c r="D195" s="21" t="s">
        <v>754</v>
      </c>
      <c r="E195" s="21" t="s">
        <v>64</v>
      </c>
      <c r="F195" s="21" t="s">
        <v>188</v>
      </c>
      <c r="G195" s="21" t="s">
        <v>112</v>
      </c>
      <c r="H195" s="21" t="s">
        <v>89</v>
      </c>
      <c r="I195" s="21" t="s">
        <v>78</v>
      </c>
      <c r="J195" s="32">
        <v>54099.78</v>
      </c>
      <c r="K195" s="21" t="s">
        <v>69</v>
      </c>
      <c r="L195" s="33">
        <v>45635</v>
      </c>
      <c r="M195" s="21" t="s">
        <v>82</v>
      </c>
      <c r="N195" s="32">
        <v>747054.91</v>
      </c>
      <c r="O195" s="21" t="s">
        <v>150</v>
      </c>
      <c r="P195" s="21" t="str">
        <f t="shared" si="18"/>
        <v>2024-12</v>
      </c>
      <c r="Q195" s="21">
        <f t="shared" si="19"/>
        <v>2024</v>
      </c>
      <c r="R195" s="34">
        <f t="shared" si="20"/>
        <v>45627</v>
      </c>
      <c r="S195" s="21">
        <f t="shared" si="21"/>
        <v>0</v>
      </c>
      <c r="T195" s="21" t="str">
        <f t="shared" si="22"/>
        <v>Card-Based</v>
      </c>
      <c r="U195" s="21" t="str">
        <f t="shared" si="23"/>
        <v>One-Time</v>
      </c>
    </row>
    <row r="196" spans="1:21" x14ac:dyDescent="0.3">
      <c r="A196" s="21" t="s">
        <v>755</v>
      </c>
      <c r="B196" s="21">
        <v>509505</v>
      </c>
      <c r="C196" s="21" t="s">
        <v>756</v>
      </c>
      <c r="D196" s="21" t="s">
        <v>757</v>
      </c>
      <c r="E196" s="21" t="s">
        <v>64</v>
      </c>
      <c r="F196" s="21" t="s">
        <v>158</v>
      </c>
      <c r="G196" s="21" t="s">
        <v>108</v>
      </c>
      <c r="H196" s="21" t="s">
        <v>87</v>
      </c>
      <c r="I196" s="21" t="s">
        <v>76</v>
      </c>
      <c r="J196" s="32">
        <v>347787.5</v>
      </c>
      <c r="K196" s="21" t="s">
        <v>72</v>
      </c>
      <c r="L196" s="33">
        <v>45140</v>
      </c>
      <c r="M196" s="21" t="s">
        <v>80</v>
      </c>
      <c r="N196" s="32">
        <v>1817009.99</v>
      </c>
      <c r="O196" s="21" t="s">
        <v>150</v>
      </c>
      <c r="P196" s="21" t="str">
        <f t="shared" si="18"/>
        <v>2023-08</v>
      </c>
      <c r="Q196" s="21">
        <f t="shared" si="19"/>
        <v>2023</v>
      </c>
      <c r="R196" s="34">
        <f t="shared" si="20"/>
        <v>45139</v>
      </c>
      <c r="S196" s="21">
        <f t="shared" si="21"/>
        <v>0</v>
      </c>
      <c r="T196" s="21" t="str">
        <f t="shared" si="22"/>
        <v>Cash-Based</v>
      </c>
      <c r="U196" s="21" t="str">
        <f t="shared" si="23"/>
        <v>One-Time</v>
      </c>
    </row>
    <row r="197" spans="1:21" x14ac:dyDescent="0.3">
      <c r="A197" s="21" t="s">
        <v>758</v>
      </c>
      <c r="B197" s="21">
        <v>384060</v>
      </c>
      <c r="C197" s="21" t="s">
        <v>759</v>
      </c>
      <c r="D197" s="21" t="s">
        <v>760</v>
      </c>
      <c r="E197" s="21" t="s">
        <v>61</v>
      </c>
      <c r="F197" s="21" t="s">
        <v>195</v>
      </c>
      <c r="G197" s="21" t="s">
        <v>116</v>
      </c>
      <c r="H197" s="21" t="s">
        <v>86</v>
      </c>
      <c r="I197" s="21" t="s">
        <v>76</v>
      </c>
      <c r="J197" s="32">
        <v>158285.28</v>
      </c>
      <c r="K197" s="21" t="s">
        <v>72</v>
      </c>
      <c r="L197" s="33">
        <v>45564</v>
      </c>
      <c r="M197" s="21" t="s">
        <v>80</v>
      </c>
      <c r="N197" s="32">
        <v>367563.6</v>
      </c>
      <c r="O197" s="21" t="s">
        <v>150</v>
      </c>
      <c r="P197" s="21" t="str">
        <f t="shared" si="18"/>
        <v>2024-09</v>
      </c>
      <c r="Q197" s="21">
        <f t="shared" si="19"/>
        <v>2024</v>
      </c>
      <c r="R197" s="34">
        <f t="shared" si="20"/>
        <v>45536</v>
      </c>
      <c r="S197" s="21">
        <f t="shared" si="21"/>
        <v>0</v>
      </c>
      <c r="T197" s="21" t="str">
        <f t="shared" si="22"/>
        <v>Cash-Based</v>
      </c>
      <c r="U197" s="21" t="str">
        <f t="shared" si="23"/>
        <v>One-Time</v>
      </c>
    </row>
    <row r="198" spans="1:21" x14ac:dyDescent="0.3">
      <c r="A198" s="21" t="s">
        <v>761</v>
      </c>
      <c r="B198" s="21">
        <v>196463</v>
      </c>
      <c r="C198" s="21" t="s">
        <v>762</v>
      </c>
      <c r="D198" s="21" t="s">
        <v>763</v>
      </c>
      <c r="E198" s="21" t="s">
        <v>61</v>
      </c>
      <c r="F198" s="21" t="s">
        <v>364</v>
      </c>
      <c r="G198" s="21" t="s">
        <v>130</v>
      </c>
      <c r="H198" s="21" t="s">
        <v>86</v>
      </c>
      <c r="I198" s="21" t="s">
        <v>75</v>
      </c>
      <c r="J198" s="32">
        <v>232081.79</v>
      </c>
      <c r="K198" s="21" t="s">
        <v>68</v>
      </c>
      <c r="L198" s="33">
        <v>45619</v>
      </c>
      <c r="M198" s="21" t="s">
        <v>80</v>
      </c>
      <c r="N198" s="32">
        <v>1764401.86</v>
      </c>
      <c r="O198" s="21" t="s">
        <v>150</v>
      </c>
      <c r="P198" s="21" t="str">
        <f t="shared" si="18"/>
        <v>2024-11</v>
      </c>
      <c r="Q198" s="21">
        <f t="shared" si="19"/>
        <v>2024</v>
      </c>
      <c r="R198" s="34">
        <f t="shared" si="20"/>
        <v>45597</v>
      </c>
      <c r="S198" s="21">
        <f t="shared" si="21"/>
        <v>0</v>
      </c>
      <c r="T198" s="21" t="str">
        <f t="shared" si="22"/>
        <v>Digital</v>
      </c>
      <c r="U198" s="21" t="str">
        <f t="shared" si="23"/>
        <v>One-Time</v>
      </c>
    </row>
    <row r="199" spans="1:21" x14ac:dyDescent="0.3">
      <c r="A199" s="21" t="s">
        <v>764</v>
      </c>
      <c r="B199" s="21">
        <v>869806</v>
      </c>
      <c r="C199" s="21" t="s">
        <v>765</v>
      </c>
      <c r="D199" s="21" t="s">
        <v>766</v>
      </c>
      <c r="E199" s="21" t="s">
        <v>62</v>
      </c>
      <c r="F199" s="21" t="s">
        <v>297</v>
      </c>
      <c r="G199" s="21" t="s">
        <v>111</v>
      </c>
      <c r="H199" s="21" t="s">
        <v>89</v>
      </c>
      <c r="I199" s="21" t="s">
        <v>75</v>
      </c>
      <c r="J199" s="32">
        <v>224004.06</v>
      </c>
      <c r="K199" s="21" t="s">
        <v>71</v>
      </c>
      <c r="L199" s="33">
        <v>45369</v>
      </c>
      <c r="M199" s="21" t="s">
        <v>80</v>
      </c>
      <c r="N199" s="32">
        <v>1785565.49</v>
      </c>
      <c r="O199" s="21" t="s">
        <v>150</v>
      </c>
      <c r="P199" s="21" t="str">
        <f t="shared" si="18"/>
        <v>2024-03</v>
      </c>
      <c r="Q199" s="21">
        <f t="shared" si="19"/>
        <v>2024</v>
      </c>
      <c r="R199" s="34">
        <f t="shared" si="20"/>
        <v>45352</v>
      </c>
      <c r="S199" s="21">
        <f t="shared" si="21"/>
        <v>0</v>
      </c>
      <c r="T199" s="21" t="str">
        <f t="shared" si="22"/>
        <v>Digital</v>
      </c>
      <c r="U199" s="21" t="str">
        <f t="shared" si="23"/>
        <v>One-Time</v>
      </c>
    </row>
    <row r="200" spans="1:21" x14ac:dyDescent="0.3">
      <c r="A200" s="21" t="s">
        <v>767</v>
      </c>
      <c r="B200" s="21">
        <v>916524</v>
      </c>
      <c r="C200" s="21" t="s">
        <v>768</v>
      </c>
      <c r="D200" s="21" t="s">
        <v>769</v>
      </c>
      <c r="E200" s="21" t="s">
        <v>60</v>
      </c>
      <c r="F200" s="21" t="s">
        <v>173</v>
      </c>
      <c r="G200" s="21" t="s">
        <v>117</v>
      </c>
      <c r="H200" s="21" t="s">
        <v>86</v>
      </c>
      <c r="I200" s="21" t="s">
        <v>77</v>
      </c>
      <c r="J200" s="32">
        <v>104110.42</v>
      </c>
      <c r="K200" s="21" t="s">
        <v>69</v>
      </c>
      <c r="L200" s="33">
        <v>45618</v>
      </c>
      <c r="M200" s="21" t="s">
        <v>80</v>
      </c>
      <c r="N200" s="32">
        <v>33534.019999999997</v>
      </c>
      <c r="O200" s="21" t="s">
        <v>150</v>
      </c>
      <c r="P200" s="21" t="str">
        <f t="shared" si="18"/>
        <v>2024-11</v>
      </c>
      <c r="Q200" s="21">
        <f t="shared" si="19"/>
        <v>2024</v>
      </c>
      <c r="R200" s="34">
        <f t="shared" si="20"/>
        <v>45597</v>
      </c>
      <c r="S200" s="21">
        <f t="shared" si="21"/>
        <v>0</v>
      </c>
      <c r="T200" s="21" t="str">
        <f t="shared" si="22"/>
        <v>Card-Based</v>
      </c>
      <c r="U200" s="21" t="str">
        <f t="shared" si="23"/>
        <v>One-Time</v>
      </c>
    </row>
    <row r="201" spans="1:21" x14ac:dyDescent="0.3">
      <c r="A201" s="21" t="s">
        <v>770</v>
      </c>
      <c r="B201" s="21">
        <v>713748</v>
      </c>
      <c r="C201" s="21" t="s">
        <v>771</v>
      </c>
      <c r="D201" s="21" t="s">
        <v>772</v>
      </c>
      <c r="E201" s="21" t="s">
        <v>64</v>
      </c>
      <c r="F201" s="21" t="s">
        <v>262</v>
      </c>
      <c r="G201" s="21" t="s">
        <v>131</v>
      </c>
      <c r="H201" s="21" t="s">
        <v>86</v>
      </c>
      <c r="I201" s="21" t="s">
        <v>76</v>
      </c>
      <c r="J201" s="32">
        <v>180619.41</v>
      </c>
      <c r="K201" s="21" t="s">
        <v>68</v>
      </c>
      <c r="L201" s="33">
        <v>45638</v>
      </c>
      <c r="M201" s="21" t="s">
        <v>83</v>
      </c>
      <c r="N201" s="32">
        <v>1138412.6299999999</v>
      </c>
      <c r="O201" s="21" t="s">
        <v>150</v>
      </c>
      <c r="P201" s="21" t="str">
        <f t="shared" si="18"/>
        <v>2024-12</v>
      </c>
      <c r="Q201" s="21">
        <f t="shared" si="19"/>
        <v>2024</v>
      </c>
      <c r="R201" s="34">
        <f t="shared" si="20"/>
        <v>45627</v>
      </c>
      <c r="S201" s="21">
        <f t="shared" si="21"/>
        <v>0</v>
      </c>
      <c r="T201" s="21" t="str">
        <f t="shared" si="22"/>
        <v>Digital</v>
      </c>
      <c r="U201" s="21" t="str">
        <f t="shared" si="23"/>
        <v>One-Time</v>
      </c>
    </row>
    <row r="202" spans="1:21" x14ac:dyDescent="0.3">
      <c r="A202" s="21" t="s">
        <v>773</v>
      </c>
      <c r="B202" s="21">
        <v>147276</v>
      </c>
      <c r="C202" s="21" t="s">
        <v>774</v>
      </c>
      <c r="D202" s="21" t="s">
        <v>775</v>
      </c>
      <c r="E202" s="21" t="s">
        <v>63</v>
      </c>
      <c r="F202" s="21" t="s">
        <v>255</v>
      </c>
      <c r="G202" s="21" t="s">
        <v>115</v>
      </c>
      <c r="H202" s="21" t="s">
        <v>89</v>
      </c>
      <c r="I202" s="21" t="s">
        <v>76</v>
      </c>
      <c r="J202" s="32">
        <v>51950.12</v>
      </c>
      <c r="K202" s="21" t="s">
        <v>71</v>
      </c>
      <c r="L202" s="33">
        <v>45700</v>
      </c>
      <c r="M202" s="21" t="s">
        <v>80</v>
      </c>
      <c r="N202" s="32">
        <v>901918.7</v>
      </c>
      <c r="O202" s="21" t="s">
        <v>150</v>
      </c>
      <c r="P202" s="21" t="str">
        <f t="shared" si="18"/>
        <v>2025-02</v>
      </c>
      <c r="Q202" s="21">
        <f t="shared" si="19"/>
        <v>2025</v>
      </c>
      <c r="R202" s="34">
        <f t="shared" si="20"/>
        <v>45689</v>
      </c>
      <c r="S202" s="21">
        <f t="shared" si="21"/>
        <v>0</v>
      </c>
      <c r="T202" s="21" t="str">
        <f t="shared" si="22"/>
        <v>Digital</v>
      </c>
      <c r="U202" s="21" t="str">
        <f t="shared" si="23"/>
        <v>One-Time</v>
      </c>
    </row>
    <row r="203" spans="1:21" x14ac:dyDescent="0.3">
      <c r="A203" s="21" t="s">
        <v>776</v>
      </c>
      <c r="B203" s="21">
        <v>534364</v>
      </c>
      <c r="C203" s="21" t="s">
        <v>777</v>
      </c>
      <c r="D203" s="21" t="s">
        <v>778</v>
      </c>
      <c r="E203" s="21" t="s">
        <v>63</v>
      </c>
      <c r="F203" s="21" t="s">
        <v>227</v>
      </c>
      <c r="G203" s="21" t="s">
        <v>118</v>
      </c>
      <c r="H203" s="21" t="s">
        <v>89</v>
      </c>
      <c r="I203" s="21" t="s">
        <v>78</v>
      </c>
      <c r="J203" s="32">
        <v>443370.23999999999</v>
      </c>
      <c r="K203" s="21" t="s">
        <v>71</v>
      </c>
      <c r="L203" s="33">
        <v>45361</v>
      </c>
      <c r="M203" s="21" t="s">
        <v>80</v>
      </c>
      <c r="N203" s="32">
        <v>556602.14</v>
      </c>
      <c r="O203" s="21" t="s">
        <v>150</v>
      </c>
      <c r="P203" s="21" t="str">
        <f t="shared" si="18"/>
        <v>2024-03</v>
      </c>
      <c r="Q203" s="21">
        <f t="shared" si="19"/>
        <v>2024</v>
      </c>
      <c r="R203" s="34">
        <f t="shared" si="20"/>
        <v>45352</v>
      </c>
      <c r="S203" s="21">
        <f t="shared" si="21"/>
        <v>0</v>
      </c>
      <c r="T203" s="21" t="str">
        <f t="shared" si="22"/>
        <v>Digital</v>
      </c>
      <c r="U203" s="21" t="str">
        <f t="shared" si="23"/>
        <v>One-Time</v>
      </c>
    </row>
    <row r="204" spans="1:21" x14ac:dyDescent="0.3">
      <c r="A204" s="21" t="s">
        <v>779</v>
      </c>
      <c r="B204" s="21">
        <v>929089</v>
      </c>
      <c r="C204" s="21" t="s">
        <v>780</v>
      </c>
      <c r="D204" s="21" t="s">
        <v>781</v>
      </c>
      <c r="E204" s="21" t="s">
        <v>64</v>
      </c>
      <c r="F204" s="21" t="s">
        <v>177</v>
      </c>
      <c r="G204" s="21" t="s">
        <v>113</v>
      </c>
      <c r="H204" s="21" t="s">
        <v>89</v>
      </c>
      <c r="I204" s="21" t="s">
        <v>78</v>
      </c>
      <c r="J204" s="32">
        <v>282561.71999999997</v>
      </c>
      <c r="K204" s="21" t="s">
        <v>68</v>
      </c>
      <c r="L204" s="33">
        <v>45484</v>
      </c>
      <c r="M204" s="21" t="s">
        <v>81</v>
      </c>
      <c r="N204" s="32">
        <v>1454386.03</v>
      </c>
      <c r="O204" s="21" t="s">
        <v>150</v>
      </c>
      <c r="P204" s="21" t="str">
        <f t="shared" si="18"/>
        <v>2024-07</v>
      </c>
      <c r="Q204" s="21">
        <f t="shared" si="19"/>
        <v>2024</v>
      </c>
      <c r="R204" s="34">
        <f t="shared" si="20"/>
        <v>45474</v>
      </c>
      <c r="S204" s="21">
        <f t="shared" si="21"/>
        <v>0</v>
      </c>
      <c r="T204" s="21" t="str">
        <f t="shared" si="22"/>
        <v>Digital</v>
      </c>
      <c r="U204" s="21" t="str">
        <f t="shared" si="23"/>
        <v>One-Time</v>
      </c>
    </row>
    <row r="205" spans="1:21" x14ac:dyDescent="0.3">
      <c r="A205" s="21" t="s">
        <v>782</v>
      </c>
      <c r="B205" s="21">
        <v>767038</v>
      </c>
      <c r="C205" s="21" t="s">
        <v>783</v>
      </c>
      <c r="D205" s="21" t="s">
        <v>784</v>
      </c>
      <c r="E205" s="21" t="s">
        <v>62</v>
      </c>
      <c r="F205" s="21" t="s">
        <v>199</v>
      </c>
      <c r="G205" s="21" t="s">
        <v>120</v>
      </c>
      <c r="H205" s="21" t="s">
        <v>89</v>
      </c>
      <c r="I205" s="21" t="s">
        <v>75</v>
      </c>
      <c r="J205" s="32">
        <v>154737.07</v>
      </c>
      <c r="K205" s="21" t="s">
        <v>70</v>
      </c>
      <c r="L205" s="33">
        <v>45624</v>
      </c>
      <c r="M205" s="21" t="s">
        <v>80</v>
      </c>
      <c r="N205" s="32">
        <v>1021765.12</v>
      </c>
      <c r="O205" s="21" t="s">
        <v>150</v>
      </c>
      <c r="P205" s="21" t="str">
        <f t="shared" si="18"/>
        <v>2024-11</v>
      </c>
      <c r="Q205" s="21">
        <f t="shared" si="19"/>
        <v>2024</v>
      </c>
      <c r="R205" s="34">
        <f t="shared" si="20"/>
        <v>45597</v>
      </c>
      <c r="S205" s="21">
        <f t="shared" si="21"/>
        <v>0</v>
      </c>
      <c r="T205" s="21" t="str">
        <f t="shared" si="22"/>
        <v>Card-Based</v>
      </c>
      <c r="U205" s="21" t="str">
        <f t="shared" si="23"/>
        <v>One-Time</v>
      </c>
    </row>
    <row r="206" spans="1:21" x14ac:dyDescent="0.3">
      <c r="A206" s="21" t="s">
        <v>785</v>
      </c>
      <c r="B206" s="21">
        <v>661975</v>
      </c>
      <c r="C206" s="21" t="s">
        <v>786</v>
      </c>
      <c r="D206" s="21" t="s">
        <v>787</v>
      </c>
      <c r="E206" s="21" t="s">
        <v>63</v>
      </c>
      <c r="F206" s="21" t="s">
        <v>293</v>
      </c>
      <c r="G206" s="21" t="s">
        <v>126</v>
      </c>
      <c r="H206" s="21" t="s">
        <v>88</v>
      </c>
      <c r="I206" s="21" t="s">
        <v>75</v>
      </c>
      <c r="J206" s="32">
        <v>116023.92</v>
      </c>
      <c r="K206" s="21" t="s">
        <v>70</v>
      </c>
      <c r="L206" s="33">
        <v>45761</v>
      </c>
      <c r="M206" s="21" t="s">
        <v>80</v>
      </c>
      <c r="N206" s="32">
        <v>1887254.61</v>
      </c>
      <c r="O206" s="21" t="s">
        <v>150</v>
      </c>
      <c r="P206" s="21" t="str">
        <f t="shared" si="18"/>
        <v>2025-04</v>
      </c>
      <c r="Q206" s="21">
        <f t="shared" si="19"/>
        <v>2025</v>
      </c>
      <c r="R206" s="34">
        <f t="shared" si="20"/>
        <v>45748</v>
      </c>
      <c r="S206" s="21">
        <f t="shared" si="21"/>
        <v>0</v>
      </c>
      <c r="T206" s="21" t="str">
        <f t="shared" si="22"/>
        <v>Card-Based</v>
      </c>
      <c r="U206" s="21" t="str">
        <f t="shared" si="23"/>
        <v>One-Time</v>
      </c>
    </row>
    <row r="207" spans="1:21" x14ac:dyDescent="0.3">
      <c r="A207" s="21" t="s">
        <v>788</v>
      </c>
      <c r="B207" s="21">
        <v>716285</v>
      </c>
      <c r="C207" s="21" t="s">
        <v>789</v>
      </c>
      <c r="D207" s="21" t="s">
        <v>790</v>
      </c>
      <c r="E207" s="21" t="s">
        <v>64</v>
      </c>
      <c r="F207" s="21" t="s">
        <v>158</v>
      </c>
      <c r="G207" s="21" t="s">
        <v>108</v>
      </c>
      <c r="H207" s="21" t="s">
        <v>89</v>
      </c>
      <c r="I207" s="21" t="s">
        <v>78</v>
      </c>
      <c r="J207" s="32">
        <v>70607.77</v>
      </c>
      <c r="K207" s="21" t="s">
        <v>71</v>
      </c>
      <c r="L207" s="33">
        <v>45329</v>
      </c>
      <c r="M207" s="21" t="s">
        <v>80</v>
      </c>
      <c r="N207" s="32">
        <v>1543020.48</v>
      </c>
      <c r="O207" s="21" t="s">
        <v>150</v>
      </c>
      <c r="P207" s="21" t="str">
        <f t="shared" si="18"/>
        <v>2024-02</v>
      </c>
      <c r="Q207" s="21">
        <f t="shared" si="19"/>
        <v>2024</v>
      </c>
      <c r="R207" s="34">
        <f t="shared" si="20"/>
        <v>45323</v>
      </c>
      <c r="S207" s="21">
        <f t="shared" si="21"/>
        <v>0</v>
      </c>
      <c r="T207" s="21" t="str">
        <f t="shared" si="22"/>
        <v>Digital</v>
      </c>
      <c r="U207" s="21" t="str">
        <f t="shared" si="23"/>
        <v>One-Time</v>
      </c>
    </row>
    <row r="208" spans="1:21" x14ac:dyDescent="0.3">
      <c r="A208" s="21" t="s">
        <v>791</v>
      </c>
      <c r="B208" s="21">
        <v>605524</v>
      </c>
      <c r="C208" s="21" t="s">
        <v>792</v>
      </c>
      <c r="D208" s="21" t="s">
        <v>793</v>
      </c>
      <c r="E208" s="21" t="s">
        <v>62</v>
      </c>
      <c r="F208" s="21" t="s">
        <v>275</v>
      </c>
      <c r="G208" s="21" t="s">
        <v>109</v>
      </c>
      <c r="H208" s="21" t="s">
        <v>89</v>
      </c>
      <c r="I208" s="21" t="s">
        <v>77</v>
      </c>
      <c r="J208" s="32">
        <v>72811.91</v>
      </c>
      <c r="K208" s="21" t="s">
        <v>71</v>
      </c>
      <c r="L208" s="33">
        <v>45436</v>
      </c>
      <c r="M208" s="21" t="s">
        <v>80</v>
      </c>
      <c r="N208" s="32">
        <v>84736.76</v>
      </c>
      <c r="O208" s="21" t="s">
        <v>150</v>
      </c>
      <c r="P208" s="21" t="str">
        <f t="shared" si="18"/>
        <v>2024-05</v>
      </c>
      <c r="Q208" s="21">
        <f t="shared" si="19"/>
        <v>2024</v>
      </c>
      <c r="R208" s="34">
        <f t="shared" si="20"/>
        <v>45413</v>
      </c>
      <c r="S208" s="21">
        <f t="shared" si="21"/>
        <v>0</v>
      </c>
      <c r="T208" s="21" t="str">
        <f t="shared" si="22"/>
        <v>Digital</v>
      </c>
      <c r="U208" s="21" t="str">
        <f t="shared" si="23"/>
        <v>One-Time</v>
      </c>
    </row>
    <row r="209" spans="1:21" x14ac:dyDescent="0.3">
      <c r="A209" s="21" t="s">
        <v>794</v>
      </c>
      <c r="B209" s="21">
        <v>765487</v>
      </c>
      <c r="C209" s="21" t="s">
        <v>795</v>
      </c>
      <c r="D209" s="21" t="s">
        <v>796</v>
      </c>
      <c r="E209" s="21" t="s">
        <v>64</v>
      </c>
      <c r="F209" s="21" t="s">
        <v>177</v>
      </c>
      <c r="G209" s="21" t="s">
        <v>113</v>
      </c>
      <c r="H209" s="21" t="s">
        <v>89</v>
      </c>
      <c r="I209" s="21" t="s">
        <v>77</v>
      </c>
      <c r="J209" s="32">
        <v>107276.07</v>
      </c>
      <c r="K209" s="21" t="s">
        <v>68</v>
      </c>
      <c r="L209" s="33">
        <v>45658</v>
      </c>
      <c r="M209" s="21" t="s">
        <v>80</v>
      </c>
      <c r="N209" s="32">
        <v>1500386.7</v>
      </c>
      <c r="O209" s="21" t="s">
        <v>150</v>
      </c>
      <c r="P209" s="21" t="str">
        <f t="shared" si="18"/>
        <v>2025-01</v>
      </c>
      <c r="Q209" s="21">
        <f t="shared" si="19"/>
        <v>2025</v>
      </c>
      <c r="R209" s="34">
        <f t="shared" si="20"/>
        <v>45658</v>
      </c>
      <c r="S209" s="21">
        <f t="shared" si="21"/>
        <v>0</v>
      </c>
      <c r="T209" s="21" t="str">
        <f t="shared" si="22"/>
        <v>Digital</v>
      </c>
      <c r="U209" s="21" t="str">
        <f t="shared" si="23"/>
        <v>One-Time</v>
      </c>
    </row>
    <row r="210" spans="1:21" x14ac:dyDescent="0.3">
      <c r="A210" s="21" t="s">
        <v>797</v>
      </c>
      <c r="B210" s="21">
        <v>155745</v>
      </c>
      <c r="C210" s="21" t="s">
        <v>798</v>
      </c>
      <c r="D210" s="21" t="s">
        <v>799</v>
      </c>
      <c r="E210" s="21" t="s">
        <v>61</v>
      </c>
      <c r="F210" s="21" t="s">
        <v>154</v>
      </c>
      <c r="G210" s="21" t="s">
        <v>122</v>
      </c>
      <c r="H210" s="21" t="s">
        <v>86</v>
      </c>
      <c r="I210" s="21" t="s">
        <v>78</v>
      </c>
      <c r="J210" s="32">
        <v>91230.37</v>
      </c>
      <c r="K210" s="21" t="s">
        <v>69</v>
      </c>
      <c r="L210" s="33">
        <v>45235</v>
      </c>
      <c r="M210" s="21" t="s">
        <v>80</v>
      </c>
      <c r="N210" s="32">
        <v>1671638.55</v>
      </c>
      <c r="O210" s="21" t="s">
        <v>150</v>
      </c>
      <c r="P210" s="21" t="str">
        <f t="shared" si="18"/>
        <v>2023-11</v>
      </c>
      <c r="Q210" s="21">
        <f t="shared" si="19"/>
        <v>2023</v>
      </c>
      <c r="R210" s="34">
        <f t="shared" si="20"/>
        <v>45231</v>
      </c>
      <c r="S210" s="21">
        <f t="shared" si="21"/>
        <v>0</v>
      </c>
      <c r="T210" s="21" t="str">
        <f t="shared" si="22"/>
        <v>Card-Based</v>
      </c>
      <c r="U210" s="21" t="str">
        <f t="shared" si="23"/>
        <v>One-Time</v>
      </c>
    </row>
    <row r="211" spans="1:21" x14ac:dyDescent="0.3">
      <c r="A211" s="21" t="s">
        <v>800</v>
      </c>
      <c r="B211" s="21">
        <v>303453</v>
      </c>
      <c r="C211" s="21" t="s">
        <v>801</v>
      </c>
      <c r="D211" s="21" t="s">
        <v>802</v>
      </c>
      <c r="E211" s="21" t="s">
        <v>63</v>
      </c>
      <c r="F211" s="21" t="s">
        <v>207</v>
      </c>
      <c r="G211" s="21" t="s">
        <v>127</v>
      </c>
      <c r="H211" s="21" t="s">
        <v>88</v>
      </c>
      <c r="I211" s="21" t="s">
        <v>76</v>
      </c>
      <c r="J211" s="32">
        <v>152931.09</v>
      </c>
      <c r="K211" s="21" t="s">
        <v>69</v>
      </c>
      <c r="L211" s="33">
        <v>45373</v>
      </c>
      <c r="M211" s="21" t="s">
        <v>80</v>
      </c>
      <c r="N211" s="32">
        <v>687439.49</v>
      </c>
      <c r="O211" s="21" t="s">
        <v>150</v>
      </c>
      <c r="P211" s="21" t="str">
        <f t="shared" si="18"/>
        <v>2024-03</v>
      </c>
      <c r="Q211" s="21">
        <f t="shared" si="19"/>
        <v>2024</v>
      </c>
      <c r="R211" s="34">
        <f t="shared" si="20"/>
        <v>45352</v>
      </c>
      <c r="S211" s="21">
        <f t="shared" si="21"/>
        <v>0</v>
      </c>
      <c r="T211" s="21" t="str">
        <f t="shared" si="22"/>
        <v>Card-Based</v>
      </c>
      <c r="U211" s="21" t="str">
        <f t="shared" si="23"/>
        <v>One-Time</v>
      </c>
    </row>
    <row r="212" spans="1:21" x14ac:dyDescent="0.3">
      <c r="A212" s="21" t="s">
        <v>803</v>
      </c>
      <c r="B212" s="21">
        <v>787015</v>
      </c>
      <c r="C212" s="21" t="s">
        <v>804</v>
      </c>
      <c r="D212" s="21" t="s">
        <v>805</v>
      </c>
      <c r="E212" s="21" t="s">
        <v>62</v>
      </c>
      <c r="F212" s="21" t="s">
        <v>297</v>
      </c>
      <c r="G212" s="21" t="s">
        <v>111</v>
      </c>
      <c r="H212" s="21" t="s">
        <v>86</v>
      </c>
      <c r="I212" s="21" t="s">
        <v>77</v>
      </c>
      <c r="J212" s="32">
        <v>79178.86</v>
      </c>
      <c r="K212" s="21" t="s">
        <v>69</v>
      </c>
      <c r="L212" s="33">
        <v>45797</v>
      </c>
      <c r="M212" s="21" t="s">
        <v>80</v>
      </c>
      <c r="N212" s="32">
        <v>1718077.34</v>
      </c>
      <c r="O212" s="21" t="s">
        <v>311</v>
      </c>
      <c r="P212" s="21" t="str">
        <f t="shared" si="18"/>
        <v>2025-05</v>
      </c>
      <c r="Q212" s="21">
        <f t="shared" si="19"/>
        <v>2025</v>
      </c>
      <c r="R212" s="34">
        <f t="shared" si="20"/>
        <v>45778</v>
      </c>
      <c r="S212" s="21">
        <f t="shared" si="21"/>
        <v>1</v>
      </c>
      <c r="T212" s="21" t="str">
        <f t="shared" si="22"/>
        <v>Card-Based</v>
      </c>
      <c r="U212" s="21" t="str">
        <f t="shared" si="23"/>
        <v>One-Time</v>
      </c>
    </row>
    <row r="213" spans="1:21" x14ac:dyDescent="0.3">
      <c r="A213" s="21" t="s">
        <v>806</v>
      </c>
      <c r="B213" s="21">
        <v>343315</v>
      </c>
      <c r="C213" s="21" t="s">
        <v>807</v>
      </c>
      <c r="D213" s="21" t="s">
        <v>808</v>
      </c>
      <c r="E213" s="21" t="s">
        <v>63</v>
      </c>
      <c r="F213" s="21" t="s">
        <v>227</v>
      </c>
      <c r="G213" s="21" t="s">
        <v>118</v>
      </c>
      <c r="H213" s="21" t="s">
        <v>88</v>
      </c>
      <c r="I213" s="21" t="s">
        <v>75</v>
      </c>
      <c r="J213" s="32">
        <v>56093.16</v>
      </c>
      <c r="K213" s="21" t="s">
        <v>70</v>
      </c>
      <c r="L213" s="33">
        <v>45237</v>
      </c>
      <c r="M213" s="21" t="s">
        <v>80</v>
      </c>
      <c r="N213" s="32">
        <v>2049780.56</v>
      </c>
      <c r="O213" s="21" t="s">
        <v>150</v>
      </c>
      <c r="P213" s="21" t="str">
        <f t="shared" si="18"/>
        <v>2023-11</v>
      </c>
      <c r="Q213" s="21">
        <f t="shared" si="19"/>
        <v>2023</v>
      </c>
      <c r="R213" s="34">
        <f t="shared" si="20"/>
        <v>45231</v>
      </c>
      <c r="S213" s="21">
        <f t="shared" si="21"/>
        <v>0</v>
      </c>
      <c r="T213" s="21" t="str">
        <f t="shared" si="22"/>
        <v>Card-Based</v>
      </c>
      <c r="U213" s="21" t="str">
        <f t="shared" si="23"/>
        <v>One-Time</v>
      </c>
    </row>
    <row r="214" spans="1:21" x14ac:dyDescent="0.3">
      <c r="A214" s="21" t="s">
        <v>809</v>
      </c>
      <c r="B214" s="21">
        <v>840177</v>
      </c>
      <c r="C214" s="21" t="s">
        <v>810</v>
      </c>
      <c r="D214" s="21" t="s">
        <v>811</v>
      </c>
      <c r="E214" s="21" t="s">
        <v>61</v>
      </c>
      <c r="F214" s="21" t="s">
        <v>330</v>
      </c>
      <c r="G214" s="21" t="s">
        <v>121</v>
      </c>
      <c r="H214" s="21" t="s">
        <v>87</v>
      </c>
      <c r="I214" s="21" t="s">
        <v>77</v>
      </c>
      <c r="J214" s="32">
        <v>28423.01</v>
      </c>
      <c r="K214" s="21" t="s">
        <v>72</v>
      </c>
      <c r="L214" s="33">
        <v>45775</v>
      </c>
      <c r="M214" s="21" t="s">
        <v>80</v>
      </c>
      <c r="N214" s="32">
        <v>508306.82</v>
      </c>
      <c r="O214" s="21" t="s">
        <v>150</v>
      </c>
      <c r="P214" s="21" t="str">
        <f t="shared" si="18"/>
        <v>2025-04</v>
      </c>
      <c r="Q214" s="21">
        <f t="shared" si="19"/>
        <v>2025</v>
      </c>
      <c r="R214" s="34">
        <f t="shared" si="20"/>
        <v>45748</v>
      </c>
      <c r="S214" s="21">
        <f t="shared" si="21"/>
        <v>0</v>
      </c>
      <c r="T214" s="21" t="str">
        <f t="shared" si="22"/>
        <v>Cash-Based</v>
      </c>
      <c r="U214" s="21" t="str">
        <f t="shared" si="23"/>
        <v>One-Time</v>
      </c>
    </row>
    <row r="215" spans="1:21" x14ac:dyDescent="0.3">
      <c r="A215" s="21" t="s">
        <v>812</v>
      </c>
      <c r="B215" s="21">
        <v>449494</v>
      </c>
      <c r="C215" s="21" t="s">
        <v>813</v>
      </c>
      <c r="D215" s="21" t="s">
        <v>814</v>
      </c>
      <c r="E215" s="21" t="s">
        <v>61</v>
      </c>
      <c r="F215" s="21" t="s">
        <v>154</v>
      </c>
      <c r="G215" s="21" t="s">
        <v>122</v>
      </c>
      <c r="H215" s="21" t="s">
        <v>89</v>
      </c>
      <c r="I215" s="21" t="s">
        <v>75</v>
      </c>
      <c r="J215" s="32">
        <v>265513.02</v>
      </c>
      <c r="K215" s="21" t="s">
        <v>69</v>
      </c>
      <c r="L215" s="33">
        <v>45539</v>
      </c>
      <c r="M215" s="21" t="s">
        <v>80</v>
      </c>
      <c r="N215" s="32">
        <v>1258078.81</v>
      </c>
      <c r="O215" s="21" t="s">
        <v>150</v>
      </c>
      <c r="P215" s="21" t="str">
        <f t="shared" si="18"/>
        <v>2024-09</v>
      </c>
      <c r="Q215" s="21">
        <f t="shared" si="19"/>
        <v>2024</v>
      </c>
      <c r="R215" s="34">
        <f t="shared" si="20"/>
        <v>45536</v>
      </c>
      <c r="S215" s="21">
        <f t="shared" si="21"/>
        <v>0</v>
      </c>
      <c r="T215" s="21" t="str">
        <f t="shared" si="22"/>
        <v>Card-Based</v>
      </c>
      <c r="U215" s="21" t="str">
        <f t="shared" si="23"/>
        <v>One-Time</v>
      </c>
    </row>
    <row r="216" spans="1:21" x14ac:dyDescent="0.3">
      <c r="A216" s="21" t="s">
        <v>815</v>
      </c>
      <c r="B216" s="21">
        <v>592263</v>
      </c>
      <c r="C216" s="21" t="s">
        <v>816</v>
      </c>
      <c r="D216" s="21" t="s">
        <v>817</v>
      </c>
      <c r="E216" s="21" t="s">
        <v>64</v>
      </c>
      <c r="F216" s="21" t="s">
        <v>162</v>
      </c>
      <c r="G216" s="21" t="s">
        <v>114</v>
      </c>
      <c r="H216" s="21" t="s">
        <v>86</v>
      </c>
      <c r="I216" s="21" t="s">
        <v>78</v>
      </c>
      <c r="J216" s="32">
        <v>420524.11</v>
      </c>
      <c r="K216" s="21" t="s">
        <v>70</v>
      </c>
      <c r="L216" s="33">
        <v>45121</v>
      </c>
      <c r="M216" s="21" t="s">
        <v>80</v>
      </c>
      <c r="N216" s="32">
        <v>1287572.97</v>
      </c>
      <c r="O216" s="21" t="s">
        <v>150</v>
      </c>
      <c r="P216" s="21" t="str">
        <f t="shared" si="18"/>
        <v>2023-07</v>
      </c>
      <c r="Q216" s="21">
        <f t="shared" si="19"/>
        <v>2023</v>
      </c>
      <c r="R216" s="34">
        <f t="shared" si="20"/>
        <v>45108</v>
      </c>
      <c r="S216" s="21">
        <f t="shared" si="21"/>
        <v>0</v>
      </c>
      <c r="T216" s="21" t="str">
        <f t="shared" si="22"/>
        <v>Card-Based</v>
      </c>
      <c r="U216" s="21" t="str">
        <f t="shared" si="23"/>
        <v>One-Time</v>
      </c>
    </row>
    <row r="217" spans="1:21" x14ac:dyDescent="0.3">
      <c r="A217" s="21" t="s">
        <v>818</v>
      </c>
      <c r="B217" s="21">
        <v>903080</v>
      </c>
      <c r="C217" s="21" t="s">
        <v>819</v>
      </c>
      <c r="D217" s="21" t="s">
        <v>820</v>
      </c>
      <c r="E217" s="21" t="s">
        <v>62</v>
      </c>
      <c r="F217" s="21" t="s">
        <v>199</v>
      </c>
      <c r="G217" s="21" t="s">
        <v>120</v>
      </c>
      <c r="H217" s="21" t="s">
        <v>87</v>
      </c>
      <c r="I217" s="21" t="s">
        <v>75</v>
      </c>
      <c r="J217" s="32">
        <v>63923.91</v>
      </c>
      <c r="K217" s="21" t="s">
        <v>68</v>
      </c>
      <c r="L217" s="33">
        <v>45367</v>
      </c>
      <c r="M217" s="21" t="s">
        <v>80</v>
      </c>
      <c r="N217" s="32">
        <v>1027058.02</v>
      </c>
      <c r="O217" s="21" t="s">
        <v>150</v>
      </c>
      <c r="P217" s="21" t="str">
        <f t="shared" si="18"/>
        <v>2024-03</v>
      </c>
      <c r="Q217" s="21">
        <f t="shared" si="19"/>
        <v>2024</v>
      </c>
      <c r="R217" s="34">
        <f t="shared" si="20"/>
        <v>45352</v>
      </c>
      <c r="S217" s="21">
        <f t="shared" si="21"/>
        <v>0</v>
      </c>
      <c r="T217" s="21" t="str">
        <f t="shared" si="22"/>
        <v>Digital</v>
      </c>
      <c r="U217" s="21" t="str">
        <f t="shared" si="23"/>
        <v>One-Time</v>
      </c>
    </row>
    <row r="218" spans="1:21" x14ac:dyDescent="0.3">
      <c r="A218" s="21" t="s">
        <v>821</v>
      </c>
      <c r="B218" s="21">
        <v>438809</v>
      </c>
      <c r="C218" s="21" t="s">
        <v>822</v>
      </c>
      <c r="D218" s="21" t="s">
        <v>823</v>
      </c>
      <c r="E218" s="21" t="s">
        <v>61</v>
      </c>
      <c r="F218" s="21" t="s">
        <v>364</v>
      </c>
      <c r="G218" s="21" t="s">
        <v>130</v>
      </c>
      <c r="H218" s="21" t="s">
        <v>88</v>
      </c>
      <c r="I218" s="21" t="s">
        <v>75</v>
      </c>
      <c r="J218" s="32">
        <v>146930.62</v>
      </c>
      <c r="K218" s="21" t="s">
        <v>70</v>
      </c>
      <c r="L218" s="33">
        <v>45770</v>
      </c>
      <c r="M218" s="21" t="s">
        <v>80</v>
      </c>
      <c r="N218" s="32">
        <v>744892.46</v>
      </c>
      <c r="O218" s="21" t="s">
        <v>150</v>
      </c>
      <c r="P218" s="21" t="str">
        <f t="shared" si="18"/>
        <v>2025-04</v>
      </c>
      <c r="Q218" s="21">
        <f t="shared" si="19"/>
        <v>2025</v>
      </c>
      <c r="R218" s="34">
        <f t="shared" si="20"/>
        <v>45748</v>
      </c>
      <c r="S218" s="21">
        <f t="shared" si="21"/>
        <v>0</v>
      </c>
      <c r="T218" s="21" t="str">
        <f t="shared" si="22"/>
        <v>Card-Based</v>
      </c>
      <c r="U218" s="21" t="str">
        <f t="shared" si="23"/>
        <v>One-Time</v>
      </c>
    </row>
    <row r="219" spans="1:21" x14ac:dyDescent="0.3">
      <c r="A219" s="21" t="s">
        <v>824</v>
      </c>
      <c r="B219" s="21">
        <v>521810</v>
      </c>
      <c r="C219" s="21" t="s">
        <v>825</v>
      </c>
      <c r="D219" s="21" t="s">
        <v>826</v>
      </c>
      <c r="E219" s="21" t="s">
        <v>63</v>
      </c>
      <c r="F219" s="21" t="s">
        <v>227</v>
      </c>
      <c r="G219" s="21" t="s">
        <v>118</v>
      </c>
      <c r="H219" s="21" t="s">
        <v>87</v>
      </c>
      <c r="I219" s="21" t="s">
        <v>77</v>
      </c>
      <c r="J219" s="32">
        <v>67585.070000000007</v>
      </c>
      <c r="K219" s="21" t="s">
        <v>72</v>
      </c>
      <c r="L219" s="33">
        <v>45572</v>
      </c>
      <c r="M219" s="21" t="s">
        <v>82</v>
      </c>
      <c r="N219" s="32">
        <v>100329.61</v>
      </c>
      <c r="O219" s="21" t="s">
        <v>150</v>
      </c>
      <c r="P219" s="21" t="str">
        <f t="shared" si="18"/>
        <v>2024-10</v>
      </c>
      <c r="Q219" s="21">
        <f t="shared" si="19"/>
        <v>2024</v>
      </c>
      <c r="R219" s="34">
        <f t="shared" si="20"/>
        <v>45566</v>
      </c>
      <c r="S219" s="21">
        <f t="shared" si="21"/>
        <v>0</v>
      </c>
      <c r="T219" s="21" t="str">
        <f t="shared" si="22"/>
        <v>Cash-Based</v>
      </c>
      <c r="U219" s="21" t="str">
        <f t="shared" si="23"/>
        <v>One-Time</v>
      </c>
    </row>
    <row r="220" spans="1:21" x14ac:dyDescent="0.3">
      <c r="A220" s="21" t="s">
        <v>827</v>
      </c>
      <c r="B220" s="21">
        <v>727634</v>
      </c>
      <c r="C220" s="21" t="s">
        <v>828</v>
      </c>
      <c r="D220" s="21" t="s">
        <v>829</v>
      </c>
      <c r="E220" s="21" t="s">
        <v>62</v>
      </c>
      <c r="F220" s="21" t="s">
        <v>310</v>
      </c>
      <c r="G220" s="21" t="s">
        <v>110</v>
      </c>
      <c r="H220" s="21" t="s">
        <v>86</v>
      </c>
      <c r="I220" s="21" t="s">
        <v>78</v>
      </c>
      <c r="J220" s="32">
        <v>72775.399999999994</v>
      </c>
      <c r="K220" s="21" t="s">
        <v>71</v>
      </c>
      <c r="L220" s="33">
        <v>45341</v>
      </c>
      <c r="M220" s="21" t="s">
        <v>80</v>
      </c>
      <c r="N220" s="32">
        <v>1528394.35</v>
      </c>
      <c r="O220" s="21" t="s">
        <v>150</v>
      </c>
      <c r="P220" s="21" t="str">
        <f t="shared" si="18"/>
        <v>2024-02</v>
      </c>
      <c r="Q220" s="21">
        <f t="shared" si="19"/>
        <v>2024</v>
      </c>
      <c r="R220" s="34">
        <f t="shared" si="20"/>
        <v>45323</v>
      </c>
      <c r="S220" s="21">
        <f t="shared" si="21"/>
        <v>0</v>
      </c>
      <c r="T220" s="21" t="str">
        <f t="shared" si="22"/>
        <v>Digital</v>
      </c>
      <c r="U220" s="21" t="str">
        <f t="shared" si="23"/>
        <v>One-Time</v>
      </c>
    </row>
    <row r="221" spans="1:21" x14ac:dyDescent="0.3">
      <c r="A221" s="21" t="s">
        <v>830</v>
      </c>
      <c r="B221" s="21">
        <v>149140</v>
      </c>
      <c r="C221" s="21" t="s">
        <v>831</v>
      </c>
      <c r="D221" s="21" t="s">
        <v>832</v>
      </c>
      <c r="E221" s="21" t="s">
        <v>60</v>
      </c>
      <c r="F221" s="21" t="s">
        <v>166</v>
      </c>
      <c r="G221" s="21" t="s">
        <v>107</v>
      </c>
      <c r="H221" s="21" t="s">
        <v>87</v>
      </c>
      <c r="I221" s="21" t="s">
        <v>77</v>
      </c>
      <c r="J221" s="32">
        <v>34703.17</v>
      </c>
      <c r="K221" s="21" t="s">
        <v>72</v>
      </c>
      <c r="L221" s="33">
        <v>45765</v>
      </c>
      <c r="M221" s="21" t="s">
        <v>80</v>
      </c>
      <c r="N221" s="32">
        <v>1244069.3400000001</v>
      </c>
      <c r="O221" s="21" t="s">
        <v>150</v>
      </c>
      <c r="P221" s="21" t="str">
        <f t="shared" si="18"/>
        <v>2025-04</v>
      </c>
      <c r="Q221" s="21">
        <f t="shared" si="19"/>
        <v>2025</v>
      </c>
      <c r="R221" s="34">
        <f t="shared" si="20"/>
        <v>45748</v>
      </c>
      <c r="S221" s="21">
        <f t="shared" si="21"/>
        <v>0</v>
      </c>
      <c r="T221" s="21" t="str">
        <f t="shared" si="22"/>
        <v>Cash-Based</v>
      </c>
      <c r="U221" s="21" t="str">
        <f t="shared" si="23"/>
        <v>One-Time</v>
      </c>
    </row>
    <row r="222" spans="1:21" x14ac:dyDescent="0.3">
      <c r="A222" s="21" t="s">
        <v>833</v>
      </c>
      <c r="B222" s="21">
        <v>507147</v>
      </c>
      <c r="C222" s="21" t="s">
        <v>834</v>
      </c>
      <c r="D222" s="21" t="s">
        <v>835</v>
      </c>
      <c r="E222" s="21" t="s">
        <v>61</v>
      </c>
      <c r="F222" s="21" t="s">
        <v>279</v>
      </c>
      <c r="G222" s="21" t="s">
        <v>125</v>
      </c>
      <c r="H222" s="21" t="s">
        <v>86</v>
      </c>
      <c r="I222" s="21" t="s">
        <v>75</v>
      </c>
      <c r="J222" s="32">
        <v>45309.52</v>
      </c>
      <c r="K222" s="21" t="s">
        <v>69</v>
      </c>
      <c r="L222" s="33">
        <v>45300</v>
      </c>
      <c r="M222" s="21" t="s">
        <v>82</v>
      </c>
      <c r="N222" s="32">
        <v>334817.68</v>
      </c>
      <c r="O222" s="21" t="s">
        <v>150</v>
      </c>
      <c r="P222" s="21" t="str">
        <f t="shared" si="18"/>
        <v>2024-01</v>
      </c>
      <c r="Q222" s="21">
        <f t="shared" si="19"/>
        <v>2024</v>
      </c>
      <c r="R222" s="34">
        <f t="shared" si="20"/>
        <v>45292</v>
      </c>
      <c r="S222" s="21">
        <f t="shared" si="21"/>
        <v>0</v>
      </c>
      <c r="T222" s="21" t="str">
        <f t="shared" si="22"/>
        <v>Card-Based</v>
      </c>
      <c r="U222" s="21" t="str">
        <f t="shared" si="23"/>
        <v>One-Time</v>
      </c>
    </row>
    <row r="223" spans="1:21" x14ac:dyDescent="0.3">
      <c r="A223" s="21" t="s">
        <v>836</v>
      </c>
      <c r="B223" s="21">
        <v>196451</v>
      </c>
      <c r="C223" s="21" t="s">
        <v>837</v>
      </c>
      <c r="D223" s="21" t="s">
        <v>838</v>
      </c>
      <c r="E223" s="21" t="s">
        <v>62</v>
      </c>
      <c r="F223" s="21" t="s">
        <v>310</v>
      </c>
      <c r="G223" s="21" t="s">
        <v>110</v>
      </c>
      <c r="H223" s="21" t="s">
        <v>88</v>
      </c>
      <c r="I223" s="21" t="s">
        <v>76</v>
      </c>
      <c r="J223" s="32">
        <v>417377.31</v>
      </c>
      <c r="K223" s="21" t="s">
        <v>72</v>
      </c>
      <c r="L223" s="33">
        <v>45154</v>
      </c>
      <c r="M223" s="21" t="s">
        <v>82</v>
      </c>
      <c r="N223" s="32">
        <v>919157.55</v>
      </c>
      <c r="O223" s="21" t="s">
        <v>150</v>
      </c>
      <c r="P223" s="21" t="str">
        <f t="shared" si="18"/>
        <v>2023-08</v>
      </c>
      <c r="Q223" s="21">
        <f t="shared" si="19"/>
        <v>2023</v>
      </c>
      <c r="R223" s="34">
        <f t="shared" si="20"/>
        <v>45139</v>
      </c>
      <c r="S223" s="21">
        <f t="shared" si="21"/>
        <v>0</v>
      </c>
      <c r="T223" s="21" t="str">
        <f t="shared" si="22"/>
        <v>Cash-Based</v>
      </c>
      <c r="U223" s="21" t="str">
        <f t="shared" si="23"/>
        <v>One-Time</v>
      </c>
    </row>
    <row r="224" spans="1:21" x14ac:dyDescent="0.3">
      <c r="A224" s="21" t="s">
        <v>839</v>
      </c>
      <c r="B224" s="21">
        <v>881741</v>
      </c>
      <c r="C224" s="21" t="s">
        <v>840</v>
      </c>
      <c r="D224" s="21" t="s">
        <v>841</v>
      </c>
      <c r="E224" s="21" t="s">
        <v>63</v>
      </c>
      <c r="F224" s="21" t="s">
        <v>255</v>
      </c>
      <c r="G224" s="21" t="s">
        <v>115</v>
      </c>
      <c r="H224" s="21" t="s">
        <v>89</v>
      </c>
      <c r="I224" s="21" t="s">
        <v>76</v>
      </c>
      <c r="J224" s="32">
        <v>236145.49</v>
      </c>
      <c r="K224" s="21" t="s">
        <v>70</v>
      </c>
      <c r="L224" s="33">
        <v>45131</v>
      </c>
      <c r="M224" s="21" t="s">
        <v>80</v>
      </c>
      <c r="N224" s="32">
        <v>1685483.16</v>
      </c>
      <c r="O224" s="21" t="s">
        <v>150</v>
      </c>
      <c r="P224" s="21" t="str">
        <f t="shared" si="18"/>
        <v>2023-07</v>
      </c>
      <c r="Q224" s="21">
        <f t="shared" si="19"/>
        <v>2023</v>
      </c>
      <c r="R224" s="34">
        <f t="shared" si="20"/>
        <v>45108</v>
      </c>
      <c r="S224" s="21">
        <f t="shared" si="21"/>
        <v>0</v>
      </c>
      <c r="T224" s="21" t="str">
        <f t="shared" si="22"/>
        <v>Card-Based</v>
      </c>
      <c r="U224" s="21" t="str">
        <f t="shared" si="23"/>
        <v>One-Time</v>
      </c>
    </row>
    <row r="225" spans="1:21" x14ac:dyDescent="0.3">
      <c r="A225" s="21" t="s">
        <v>842</v>
      </c>
      <c r="B225" s="21">
        <v>441139</v>
      </c>
      <c r="C225" s="21" t="s">
        <v>843</v>
      </c>
      <c r="D225" s="21" t="s">
        <v>844</v>
      </c>
      <c r="E225" s="21" t="s">
        <v>64</v>
      </c>
      <c r="F225" s="21" t="s">
        <v>162</v>
      </c>
      <c r="G225" s="21" t="s">
        <v>114</v>
      </c>
      <c r="H225" s="21" t="s">
        <v>86</v>
      </c>
      <c r="I225" s="21" t="s">
        <v>78</v>
      </c>
      <c r="J225" s="32">
        <v>414000.24</v>
      </c>
      <c r="K225" s="21" t="s">
        <v>69</v>
      </c>
      <c r="L225" s="33">
        <v>45270</v>
      </c>
      <c r="M225" s="21" t="s">
        <v>80</v>
      </c>
      <c r="N225" s="32">
        <v>1924698.42</v>
      </c>
      <c r="O225" s="21" t="s">
        <v>150</v>
      </c>
      <c r="P225" s="21" t="str">
        <f t="shared" si="18"/>
        <v>2023-12</v>
      </c>
      <c r="Q225" s="21">
        <f t="shared" si="19"/>
        <v>2023</v>
      </c>
      <c r="R225" s="34">
        <f t="shared" si="20"/>
        <v>45261</v>
      </c>
      <c r="S225" s="21">
        <f t="shared" si="21"/>
        <v>0</v>
      </c>
      <c r="T225" s="21" t="str">
        <f t="shared" si="22"/>
        <v>Card-Based</v>
      </c>
      <c r="U225" s="21" t="str">
        <f t="shared" si="23"/>
        <v>One-Time</v>
      </c>
    </row>
    <row r="226" spans="1:21" x14ac:dyDescent="0.3">
      <c r="A226" s="21" t="s">
        <v>845</v>
      </c>
      <c r="B226" s="21">
        <v>265807</v>
      </c>
      <c r="C226" s="21" t="s">
        <v>846</v>
      </c>
      <c r="D226" s="21" t="s">
        <v>847</v>
      </c>
      <c r="E226" s="21" t="s">
        <v>60</v>
      </c>
      <c r="F226" s="21" t="s">
        <v>166</v>
      </c>
      <c r="G226" s="21" t="s">
        <v>107</v>
      </c>
      <c r="H226" s="21" t="s">
        <v>87</v>
      </c>
      <c r="I226" s="21" t="s">
        <v>77</v>
      </c>
      <c r="J226" s="32">
        <v>40907.24</v>
      </c>
      <c r="K226" s="21" t="s">
        <v>68</v>
      </c>
      <c r="L226" s="33">
        <v>45386</v>
      </c>
      <c r="M226" s="21" t="s">
        <v>80</v>
      </c>
      <c r="N226" s="32">
        <v>284043.40999999997</v>
      </c>
      <c r="O226" s="21" t="s">
        <v>150</v>
      </c>
      <c r="P226" s="21" t="str">
        <f t="shared" si="18"/>
        <v>2024-04</v>
      </c>
      <c r="Q226" s="21">
        <f t="shared" si="19"/>
        <v>2024</v>
      </c>
      <c r="R226" s="34">
        <f t="shared" si="20"/>
        <v>45383</v>
      </c>
      <c r="S226" s="21">
        <f t="shared" si="21"/>
        <v>0</v>
      </c>
      <c r="T226" s="21" t="str">
        <f t="shared" si="22"/>
        <v>Digital</v>
      </c>
      <c r="U226" s="21" t="str">
        <f t="shared" si="23"/>
        <v>One-Time</v>
      </c>
    </row>
    <row r="227" spans="1:21" x14ac:dyDescent="0.3">
      <c r="A227" s="21" t="s">
        <v>848</v>
      </c>
      <c r="B227" s="21">
        <v>570485</v>
      </c>
      <c r="C227" s="21" t="s">
        <v>849</v>
      </c>
      <c r="D227" s="21" t="s">
        <v>850</v>
      </c>
      <c r="E227" s="21" t="s">
        <v>64</v>
      </c>
      <c r="F227" s="21" t="s">
        <v>158</v>
      </c>
      <c r="G227" s="21" t="s">
        <v>108</v>
      </c>
      <c r="H227" s="21" t="s">
        <v>87</v>
      </c>
      <c r="I227" s="21" t="s">
        <v>75</v>
      </c>
      <c r="J227" s="32">
        <v>230412.57</v>
      </c>
      <c r="K227" s="21" t="s">
        <v>71</v>
      </c>
      <c r="L227" s="33">
        <v>45612</v>
      </c>
      <c r="M227" s="21" t="s">
        <v>80</v>
      </c>
      <c r="N227" s="32">
        <v>1284629.1200000001</v>
      </c>
      <c r="O227" s="21" t="s">
        <v>150</v>
      </c>
      <c r="P227" s="21" t="str">
        <f t="shared" si="18"/>
        <v>2024-11</v>
      </c>
      <c r="Q227" s="21">
        <f t="shared" si="19"/>
        <v>2024</v>
      </c>
      <c r="R227" s="34">
        <f t="shared" si="20"/>
        <v>45597</v>
      </c>
      <c r="S227" s="21">
        <f t="shared" si="21"/>
        <v>0</v>
      </c>
      <c r="T227" s="21" t="str">
        <f t="shared" si="22"/>
        <v>Digital</v>
      </c>
      <c r="U227" s="21" t="str">
        <f t="shared" si="23"/>
        <v>One-Time</v>
      </c>
    </row>
    <row r="228" spans="1:21" x14ac:dyDescent="0.3">
      <c r="A228" s="21" t="s">
        <v>851</v>
      </c>
      <c r="B228" s="21">
        <v>325170</v>
      </c>
      <c r="C228" s="21" t="s">
        <v>852</v>
      </c>
      <c r="D228" s="21" t="s">
        <v>853</v>
      </c>
      <c r="E228" s="21" t="s">
        <v>60</v>
      </c>
      <c r="F228" s="21" t="s">
        <v>203</v>
      </c>
      <c r="G228" s="21" t="s">
        <v>128</v>
      </c>
      <c r="H228" s="21" t="s">
        <v>86</v>
      </c>
      <c r="I228" s="21" t="s">
        <v>76</v>
      </c>
      <c r="J228" s="32">
        <v>331287.71999999997</v>
      </c>
      <c r="K228" s="21" t="s">
        <v>70</v>
      </c>
      <c r="L228" s="33">
        <v>45843</v>
      </c>
      <c r="M228" s="21" t="s">
        <v>80</v>
      </c>
      <c r="N228" s="32">
        <v>1097203.82</v>
      </c>
      <c r="O228" s="21" t="s">
        <v>150</v>
      </c>
      <c r="P228" s="21" t="str">
        <f t="shared" si="18"/>
        <v>2025-07</v>
      </c>
      <c r="Q228" s="21">
        <f t="shared" si="19"/>
        <v>2025</v>
      </c>
      <c r="R228" s="34">
        <f t="shared" si="20"/>
        <v>45839</v>
      </c>
      <c r="S228" s="21">
        <f t="shared" si="21"/>
        <v>0</v>
      </c>
      <c r="T228" s="21" t="str">
        <f t="shared" si="22"/>
        <v>Card-Based</v>
      </c>
      <c r="U228" s="21" t="str">
        <f t="shared" si="23"/>
        <v>One-Time</v>
      </c>
    </row>
    <row r="229" spans="1:21" x14ac:dyDescent="0.3">
      <c r="A229" s="21" t="s">
        <v>854</v>
      </c>
      <c r="B229" s="21">
        <v>533034</v>
      </c>
      <c r="C229" s="21" t="s">
        <v>855</v>
      </c>
      <c r="D229" s="21" t="s">
        <v>856</v>
      </c>
      <c r="E229" s="21" t="s">
        <v>62</v>
      </c>
      <c r="F229" s="21" t="s">
        <v>310</v>
      </c>
      <c r="G229" s="21" t="s">
        <v>110</v>
      </c>
      <c r="H229" s="21" t="s">
        <v>88</v>
      </c>
      <c r="I229" s="21" t="s">
        <v>76</v>
      </c>
      <c r="J229" s="32">
        <v>206178.7</v>
      </c>
      <c r="K229" s="21" t="s">
        <v>72</v>
      </c>
      <c r="L229" s="33">
        <v>45398</v>
      </c>
      <c r="M229" s="21" t="s">
        <v>80</v>
      </c>
      <c r="N229" s="32">
        <v>1251653.83</v>
      </c>
      <c r="O229" s="21" t="s">
        <v>150</v>
      </c>
      <c r="P229" s="21" t="str">
        <f t="shared" si="18"/>
        <v>2024-04</v>
      </c>
      <c r="Q229" s="21">
        <f t="shared" si="19"/>
        <v>2024</v>
      </c>
      <c r="R229" s="34">
        <f t="shared" si="20"/>
        <v>45383</v>
      </c>
      <c r="S229" s="21">
        <f t="shared" si="21"/>
        <v>0</v>
      </c>
      <c r="T229" s="21" t="str">
        <f t="shared" si="22"/>
        <v>Cash-Based</v>
      </c>
      <c r="U229" s="21" t="str">
        <f t="shared" si="23"/>
        <v>One-Time</v>
      </c>
    </row>
    <row r="230" spans="1:21" x14ac:dyDescent="0.3">
      <c r="A230" s="21" t="s">
        <v>857</v>
      </c>
      <c r="B230" s="21">
        <v>677618</v>
      </c>
      <c r="C230" s="21" t="s">
        <v>858</v>
      </c>
      <c r="D230" s="21" t="s">
        <v>859</v>
      </c>
      <c r="E230" s="21" t="s">
        <v>64</v>
      </c>
      <c r="F230" s="21" t="s">
        <v>262</v>
      </c>
      <c r="G230" s="21" t="s">
        <v>131</v>
      </c>
      <c r="H230" s="21" t="s">
        <v>88</v>
      </c>
      <c r="I230" s="21" t="s">
        <v>78</v>
      </c>
      <c r="J230" s="32">
        <v>590927.39</v>
      </c>
      <c r="K230" s="21" t="s">
        <v>71</v>
      </c>
      <c r="L230" s="33">
        <v>45436</v>
      </c>
      <c r="M230" s="21" t="s">
        <v>80</v>
      </c>
      <c r="N230" s="32">
        <v>852949.58</v>
      </c>
      <c r="O230" s="21" t="s">
        <v>150</v>
      </c>
      <c r="P230" s="21" t="str">
        <f t="shared" si="18"/>
        <v>2024-05</v>
      </c>
      <c r="Q230" s="21">
        <f t="shared" si="19"/>
        <v>2024</v>
      </c>
      <c r="R230" s="34">
        <f t="shared" si="20"/>
        <v>45413</v>
      </c>
      <c r="S230" s="21">
        <f t="shared" si="21"/>
        <v>0</v>
      </c>
      <c r="T230" s="21" t="str">
        <f t="shared" si="22"/>
        <v>Digital</v>
      </c>
      <c r="U230" s="21" t="str">
        <f t="shared" si="23"/>
        <v>One-Time</v>
      </c>
    </row>
    <row r="231" spans="1:21" x14ac:dyDescent="0.3">
      <c r="A231" s="21" t="s">
        <v>860</v>
      </c>
      <c r="B231" s="21">
        <v>630575</v>
      </c>
      <c r="C231" s="21" t="s">
        <v>861</v>
      </c>
      <c r="D231" s="21" t="s">
        <v>862</v>
      </c>
      <c r="E231" s="21" t="s">
        <v>62</v>
      </c>
      <c r="F231" s="21" t="s">
        <v>297</v>
      </c>
      <c r="G231" s="21" t="s">
        <v>111</v>
      </c>
      <c r="H231" s="21" t="s">
        <v>86</v>
      </c>
      <c r="I231" s="21" t="s">
        <v>76</v>
      </c>
      <c r="J231" s="32">
        <v>357995.77</v>
      </c>
      <c r="K231" s="21" t="s">
        <v>72</v>
      </c>
      <c r="L231" s="33">
        <v>45660</v>
      </c>
      <c r="M231" s="21" t="s">
        <v>80</v>
      </c>
      <c r="N231" s="32">
        <v>1142710.9099999999</v>
      </c>
      <c r="O231" s="21" t="s">
        <v>150</v>
      </c>
      <c r="P231" s="21" t="str">
        <f t="shared" si="18"/>
        <v>2025-01</v>
      </c>
      <c r="Q231" s="21">
        <f t="shared" si="19"/>
        <v>2025</v>
      </c>
      <c r="R231" s="34">
        <f t="shared" si="20"/>
        <v>45658</v>
      </c>
      <c r="S231" s="21">
        <f t="shared" si="21"/>
        <v>0</v>
      </c>
      <c r="T231" s="21" t="str">
        <f t="shared" si="22"/>
        <v>Cash-Based</v>
      </c>
      <c r="U231" s="21" t="str">
        <f t="shared" si="23"/>
        <v>One-Time</v>
      </c>
    </row>
    <row r="232" spans="1:21" x14ac:dyDescent="0.3">
      <c r="A232" s="21" t="s">
        <v>863</v>
      </c>
      <c r="B232" s="21">
        <v>661610</v>
      </c>
      <c r="C232" s="21" t="s">
        <v>864</v>
      </c>
      <c r="D232" s="21" t="s">
        <v>865</v>
      </c>
      <c r="E232" s="21" t="s">
        <v>60</v>
      </c>
      <c r="F232" s="21" t="s">
        <v>173</v>
      </c>
      <c r="G232" s="21" t="s">
        <v>117</v>
      </c>
      <c r="H232" s="21" t="s">
        <v>86</v>
      </c>
      <c r="I232" s="21" t="s">
        <v>75</v>
      </c>
      <c r="J232" s="32">
        <v>125983.99</v>
      </c>
      <c r="K232" s="21" t="s">
        <v>69</v>
      </c>
      <c r="L232" s="33">
        <v>45835</v>
      </c>
      <c r="M232" s="21" t="s">
        <v>82</v>
      </c>
      <c r="N232" s="32">
        <v>1804511.38</v>
      </c>
      <c r="O232" s="21" t="s">
        <v>150</v>
      </c>
      <c r="P232" s="21" t="str">
        <f t="shared" si="18"/>
        <v>2025-06</v>
      </c>
      <c r="Q232" s="21">
        <f t="shared" si="19"/>
        <v>2025</v>
      </c>
      <c r="R232" s="34">
        <f t="shared" si="20"/>
        <v>45809</v>
      </c>
      <c r="S232" s="21">
        <f t="shared" si="21"/>
        <v>0</v>
      </c>
      <c r="T232" s="21" t="str">
        <f t="shared" si="22"/>
        <v>Card-Based</v>
      </c>
      <c r="U232" s="21" t="str">
        <f t="shared" si="23"/>
        <v>One-Time</v>
      </c>
    </row>
    <row r="233" spans="1:21" x14ac:dyDescent="0.3">
      <c r="A233" s="21" t="s">
        <v>866</v>
      </c>
      <c r="B233" s="21">
        <v>275383</v>
      </c>
      <c r="C233" s="21" t="s">
        <v>867</v>
      </c>
      <c r="D233" s="21" t="s">
        <v>868</v>
      </c>
      <c r="E233" s="21" t="s">
        <v>63</v>
      </c>
      <c r="F233" s="21" t="s">
        <v>207</v>
      </c>
      <c r="G233" s="21" t="s">
        <v>127</v>
      </c>
      <c r="H233" s="21" t="s">
        <v>86</v>
      </c>
      <c r="I233" s="21" t="s">
        <v>76</v>
      </c>
      <c r="J233" s="32">
        <v>37759.040000000001</v>
      </c>
      <c r="K233" s="21" t="s">
        <v>70</v>
      </c>
      <c r="L233" s="33">
        <v>45273</v>
      </c>
      <c r="M233" s="21" t="s">
        <v>80</v>
      </c>
      <c r="N233" s="32">
        <v>1961954.36</v>
      </c>
      <c r="O233" s="21" t="s">
        <v>150</v>
      </c>
      <c r="P233" s="21" t="str">
        <f t="shared" si="18"/>
        <v>2023-12</v>
      </c>
      <c r="Q233" s="21">
        <f t="shared" si="19"/>
        <v>2023</v>
      </c>
      <c r="R233" s="34">
        <f t="shared" si="20"/>
        <v>45261</v>
      </c>
      <c r="S233" s="21">
        <f t="shared" si="21"/>
        <v>0</v>
      </c>
      <c r="T233" s="21" t="str">
        <f t="shared" si="22"/>
        <v>Card-Based</v>
      </c>
      <c r="U233" s="21" t="str">
        <f t="shared" si="23"/>
        <v>One-Time</v>
      </c>
    </row>
    <row r="234" spans="1:21" x14ac:dyDescent="0.3">
      <c r="A234" s="21" t="s">
        <v>869</v>
      </c>
      <c r="B234" s="21">
        <v>674437</v>
      </c>
      <c r="C234" s="21" t="s">
        <v>870</v>
      </c>
      <c r="D234" s="21" t="s">
        <v>871</v>
      </c>
      <c r="E234" s="21" t="s">
        <v>61</v>
      </c>
      <c r="F234" s="21" t="s">
        <v>364</v>
      </c>
      <c r="G234" s="21" t="s">
        <v>130</v>
      </c>
      <c r="H234" s="21" t="s">
        <v>86</v>
      </c>
      <c r="I234" s="21" t="s">
        <v>76</v>
      </c>
      <c r="J234" s="32">
        <v>470719.47</v>
      </c>
      <c r="K234" s="21" t="s">
        <v>68</v>
      </c>
      <c r="L234" s="33">
        <v>45203</v>
      </c>
      <c r="M234" s="21" t="s">
        <v>80</v>
      </c>
      <c r="N234" s="32">
        <v>1096698.1000000001</v>
      </c>
      <c r="O234" s="21" t="s">
        <v>150</v>
      </c>
      <c r="P234" s="21" t="str">
        <f t="shared" si="18"/>
        <v>2023-10</v>
      </c>
      <c r="Q234" s="21">
        <f t="shared" si="19"/>
        <v>2023</v>
      </c>
      <c r="R234" s="34">
        <f t="shared" si="20"/>
        <v>45200</v>
      </c>
      <c r="S234" s="21">
        <f t="shared" si="21"/>
        <v>0</v>
      </c>
      <c r="T234" s="21" t="str">
        <f t="shared" si="22"/>
        <v>Digital</v>
      </c>
      <c r="U234" s="21" t="str">
        <f t="shared" si="23"/>
        <v>One-Time</v>
      </c>
    </row>
    <row r="235" spans="1:21" x14ac:dyDescent="0.3">
      <c r="A235" s="21" t="s">
        <v>872</v>
      </c>
      <c r="B235" s="21">
        <v>941406</v>
      </c>
      <c r="C235" s="21" t="s">
        <v>873</v>
      </c>
      <c r="D235" s="21" t="s">
        <v>874</v>
      </c>
      <c r="E235" s="21" t="s">
        <v>62</v>
      </c>
      <c r="F235" s="21" t="s">
        <v>297</v>
      </c>
      <c r="G235" s="21" t="s">
        <v>111</v>
      </c>
      <c r="H235" s="21" t="s">
        <v>87</v>
      </c>
      <c r="I235" s="21" t="s">
        <v>75</v>
      </c>
      <c r="J235" s="32">
        <v>229396.76</v>
      </c>
      <c r="K235" s="21" t="s">
        <v>71</v>
      </c>
      <c r="L235" s="33">
        <v>45295</v>
      </c>
      <c r="M235" s="21" t="s">
        <v>80</v>
      </c>
      <c r="N235" s="32">
        <v>1119253.7</v>
      </c>
      <c r="O235" s="21" t="s">
        <v>150</v>
      </c>
      <c r="P235" s="21" t="str">
        <f t="shared" si="18"/>
        <v>2024-01</v>
      </c>
      <c r="Q235" s="21">
        <f t="shared" si="19"/>
        <v>2024</v>
      </c>
      <c r="R235" s="34">
        <f t="shared" si="20"/>
        <v>45292</v>
      </c>
      <c r="S235" s="21">
        <f t="shared" si="21"/>
        <v>0</v>
      </c>
      <c r="T235" s="21" t="str">
        <f t="shared" si="22"/>
        <v>Digital</v>
      </c>
      <c r="U235" s="21" t="str">
        <f t="shared" si="23"/>
        <v>One-Time</v>
      </c>
    </row>
    <row r="236" spans="1:21" x14ac:dyDescent="0.3">
      <c r="A236" s="21" t="s">
        <v>875</v>
      </c>
      <c r="B236" s="21">
        <v>112063</v>
      </c>
      <c r="C236" s="21" t="s">
        <v>876</v>
      </c>
      <c r="D236" s="21" t="s">
        <v>877</v>
      </c>
      <c r="E236" s="21" t="s">
        <v>63</v>
      </c>
      <c r="F236" s="21" t="s">
        <v>255</v>
      </c>
      <c r="G236" s="21" t="s">
        <v>115</v>
      </c>
      <c r="H236" s="21" t="s">
        <v>87</v>
      </c>
      <c r="I236" s="21" t="s">
        <v>75</v>
      </c>
      <c r="J236" s="32">
        <v>263052.93</v>
      </c>
      <c r="K236" s="21" t="s">
        <v>72</v>
      </c>
      <c r="L236" s="33">
        <v>45367</v>
      </c>
      <c r="M236" s="21" t="s">
        <v>83</v>
      </c>
      <c r="N236" s="32">
        <v>2010231.74</v>
      </c>
      <c r="O236" s="21" t="s">
        <v>311</v>
      </c>
      <c r="P236" s="21" t="str">
        <f t="shared" si="18"/>
        <v>2024-03</v>
      </c>
      <c r="Q236" s="21">
        <f t="shared" si="19"/>
        <v>2024</v>
      </c>
      <c r="R236" s="34">
        <f t="shared" si="20"/>
        <v>45352</v>
      </c>
      <c r="S236" s="21">
        <f t="shared" si="21"/>
        <v>1</v>
      </c>
      <c r="T236" s="21" t="str">
        <f t="shared" si="22"/>
        <v>Cash-Based</v>
      </c>
      <c r="U236" s="21" t="str">
        <f t="shared" si="23"/>
        <v>One-Time</v>
      </c>
    </row>
    <row r="237" spans="1:21" x14ac:dyDescent="0.3">
      <c r="A237" s="21" t="s">
        <v>878</v>
      </c>
      <c r="B237" s="21">
        <v>167371</v>
      </c>
      <c r="C237" s="21" t="s">
        <v>879</v>
      </c>
      <c r="D237" s="21" t="s">
        <v>880</v>
      </c>
      <c r="E237" s="21" t="s">
        <v>64</v>
      </c>
      <c r="F237" s="21" t="s">
        <v>177</v>
      </c>
      <c r="G237" s="21" t="s">
        <v>113</v>
      </c>
      <c r="H237" s="21" t="s">
        <v>88</v>
      </c>
      <c r="I237" s="21" t="s">
        <v>76</v>
      </c>
      <c r="J237" s="32">
        <v>343900.3</v>
      </c>
      <c r="K237" s="21" t="s">
        <v>69</v>
      </c>
      <c r="L237" s="33">
        <v>45576</v>
      </c>
      <c r="M237" s="21" t="s">
        <v>83</v>
      </c>
      <c r="N237" s="32">
        <v>1451827.9</v>
      </c>
      <c r="O237" s="21" t="s">
        <v>150</v>
      </c>
      <c r="P237" s="21" t="str">
        <f t="shared" si="18"/>
        <v>2024-10</v>
      </c>
      <c r="Q237" s="21">
        <f t="shared" si="19"/>
        <v>2024</v>
      </c>
      <c r="R237" s="34">
        <f t="shared" si="20"/>
        <v>45566</v>
      </c>
      <c r="S237" s="21">
        <f t="shared" si="21"/>
        <v>0</v>
      </c>
      <c r="T237" s="21" t="str">
        <f t="shared" si="22"/>
        <v>Card-Based</v>
      </c>
      <c r="U237" s="21" t="str">
        <f t="shared" si="23"/>
        <v>One-Time</v>
      </c>
    </row>
    <row r="238" spans="1:21" x14ac:dyDescent="0.3">
      <c r="A238" s="21" t="s">
        <v>881</v>
      </c>
      <c r="B238" s="21">
        <v>163530</v>
      </c>
      <c r="C238" s="21" t="s">
        <v>882</v>
      </c>
      <c r="D238" s="21" t="s">
        <v>883</v>
      </c>
      <c r="E238" s="21" t="s">
        <v>61</v>
      </c>
      <c r="F238" s="21" t="s">
        <v>279</v>
      </c>
      <c r="G238" s="21" t="s">
        <v>125</v>
      </c>
      <c r="H238" s="21" t="s">
        <v>88</v>
      </c>
      <c r="I238" s="21" t="s">
        <v>76</v>
      </c>
      <c r="J238" s="32">
        <v>141940.85999999999</v>
      </c>
      <c r="K238" s="21" t="s">
        <v>68</v>
      </c>
      <c r="L238" s="33">
        <v>45844</v>
      </c>
      <c r="M238" s="21" t="s">
        <v>81</v>
      </c>
      <c r="N238" s="32">
        <v>1414350.1</v>
      </c>
      <c r="O238" s="21" t="s">
        <v>150</v>
      </c>
      <c r="P238" s="21" t="str">
        <f t="shared" si="18"/>
        <v>2025-07</v>
      </c>
      <c r="Q238" s="21">
        <f t="shared" si="19"/>
        <v>2025</v>
      </c>
      <c r="R238" s="34">
        <f t="shared" si="20"/>
        <v>45839</v>
      </c>
      <c r="S238" s="21">
        <f t="shared" si="21"/>
        <v>0</v>
      </c>
      <c r="T238" s="21" t="str">
        <f t="shared" si="22"/>
        <v>Digital</v>
      </c>
      <c r="U238" s="21" t="str">
        <f t="shared" si="23"/>
        <v>One-Time</v>
      </c>
    </row>
    <row r="239" spans="1:21" x14ac:dyDescent="0.3">
      <c r="A239" s="21" t="s">
        <v>884</v>
      </c>
      <c r="B239" s="21">
        <v>450272</v>
      </c>
      <c r="C239" s="21" t="s">
        <v>885</v>
      </c>
      <c r="D239" s="21" t="s">
        <v>886</v>
      </c>
      <c r="E239" s="21" t="s">
        <v>61</v>
      </c>
      <c r="F239" s="21" t="s">
        <v>195</v>
      </c>
      <c r="G239" s="21" t="s">
        <v>116</v>
      </c>
      <c r="H239" s="21" t="s">
        <v>86</v>
      </c>
      <c r="I239" s="21" t="s">
        <v>78</v>
      </c>
      <c r="J239" s="32">
        <v>541143.80000000005</v>
      </c>
      <c r="K239" s="21" t="s">
        <v>69</v>
      </c>
      <c r="L239" s="33">
        <v>45663</v>
      </c>
      <c r="M239" s="21" t="s">
        <v>80</v>
      </c>
      <c r="N239" s="32">
        <v>1296566.75</v>
      </c>
      <c r="O239" s="21" t="s">
        <v>150</v>
      </c>
      <c r="P239" s="21" t="str">
        <f t="shared" si="18"/>
        <v>2025-01</v>
      </c>
      <c r="Q239" s="21">
        <f t="shared" si="19"/>
        <v>2025</v>
      </c>
      <c r="R239" s="34">
        <f t="shared" si="20"/>
        <v>45658</v>
      </c>
      <c r="S239" s="21">
        <f t="shared" si="21"/>
        <v>0</v>
      </c>
      <c r="T239" s="21" t="str">
        <f t="shared" si="22"/>
        <v>Card-Based</v>
      </c>
      <c r="U239" s="21" t="str">
        <f t="shared" si="23"/>
        <v>One-Time</v>
      </c>
    </row>
    <row r="240" spans="1:21" x14ac:dyDescent="0.3">
      <c r="A240" s="21" t="s">
        <v>887</v>
      </c>
      <c r="B240" s="21">
        <v>659251</v>
      </c>
      <c r="C240" s="21" t="s">
        <v>888</v>
      </c>
      <c r="D240" s="21" t="s">
        <v>889</v>
      </c>
      <c r="E240" s="21" t="s">
        <v>63</v>
      </c>
      <c r="F240" s="21" t="s">
        <v>207</v>
      </c>
      <c r="G240" s="21" t="s">
        <v>127</v>
      </c>
      <c r="H240" s="21" t="s">
        <v>87</v>
      </c>
      <c r="I240" s="21" t="s">
        <v>75</v>
      </c>
      <c r="J240" s="32">
        <v>12025.06</v>
      </c>
      <c r="K240" s="21" t="s">
        <v>69</v>
      </c>
      <c r="L240" s="33">
        <v>45526</v>
      </c>
      <c r="M240" s="21" t="s">
        <v>83</v>
      </c>
      <c r="N240" s="32">
        <v>1203807.42</v>
      </c>
      <c r="O240" s="21" t="s">
        <v>150</v>
      </c>
      <c r="P240" s="21" t="str">
        <f t="shared" si="18"/>
        <v>2024-08</v>
      </c>
      <c r="Q240" s="21">
        <f t="shared" si="19"/>
        <v>2024</v>
      </c>
      <c r="R240" s="34">
        <f t="shared" si="20"/>
        <v>45505</v>
      </c>
      <c r="S240" s="21">
        <f t="shared" si="21"/>
        <v>0</v>
      </c>
      <c r="T240" s="21" t="str">
        <f t="shared" si="22"/>
        <v>Card-Based</v>
      </c>
      <c r="U240" s="21" t="str">
        <f t="shared" si="23"/>
        <v>One-Time</v>
      </c>
    </row>
    <row r="241" spans="1:21" x14ac:dyDescent="0.3">
      <c r="A241" s="21" t="s">
        <v>890</v>
      </c>
      <c r="B241" s="21">
        <v>117469</v>
      </c>
      <c r="C241" s="21" t="s">
        <v>891</v>
      </c>
      <c r="D241" s="21" t="s">
        <v>892</v>
      </c>
      <c r="E241" s="21" t="s">
        <v>62</v>
      </c>
      <c r="F241" s="21" t="s">
        <v>275</v>
      </c>
      <c r="G241" s="21" t="s">
        <v>109</v>
      </c>
      <c r="H241" s="21" t="s">
        <v>87</v>
      </c>
      <c r="I241" s="21" t="s">
        <v>77</v>
      </c>
      <c r="J241" s="32">
        <v>55705.38</v>
      </c>
      <c r="K241" s="21" t="s">
        <v>71</v>
      </c>
      <c r="L241" s="33">
        <v>45371</v>
      </c>
      <c r="M241" s="21" t="s">
        <v>80</v>
      </c>
      <c r="N241" s="32">
        <v>1599051.25</v>
      </c>
      <c r="O241" s="21" t="s">
        <v>150</v>
      </c>
      <c r="P241" s="21" t="str">
        <f t="shared" si="18"/>
        <v>2024-03</v>
      </c>
      <c r="Q241" s="21">
        <f t="shared" si="19"/>
        <v>2024</v>
      </c>
      <c r="R241" s="34">
        <f t="shared" si="20"/>
        <v>45352</v>
      </c>
      <c r="S241" s="21">
        <f t="shared" si="21"/>
        <v>0</v>
      </c>
      <c r="T241" s="21" t="str">
        <f t="shared" si="22"/>
        <v>Digital</v>
      </c>
      <c r="U241" s="21" t="str">
        <f t="shared" si="23"/>
        <v>One-Time</v>
      </c>
    </row>
    <row r="242" spans="1:21" x14ac:dyDescent="0.3">
      <c r="A242" s="21" t="s">
        <v>893</v>
      </c>
      <c r="B242" s="21">
        <v>725646</v>
      </c>
      <c r="C242" s="21" t="s">
        <v>894</v>
      </c>
      <c r="D242" s="21" t="s">
        <v>895</v>
      </c>
      <c r="E242" s="21" t="s">
        <v>61</v>
      </c>
      <c r="F242" s="21" t="s">
        <v>154</v>
      </c>
      <c r="G242" s="21" t="s">
        <v>122</v>
      </c>
      <c r="H242" s="21" t="s">
        <v>86</v>
      </c>
      <c r="I242" s="21" t="s">
        <v>75</v>
      </c>
      <c r="J242" s="32">
        <v>259407.8</v>
      </c>
      <c r="K242" s="21" t="s">
        <v>68</v>
      </c>
      <c r="L242" s="33">
        <v>45556</v>
      </c>
      <c r="M242" s="21" t="s">
        <v>80</v>
      </c>
      <c r="N242" s="32">
        <v>1568771.1</v>
      </c>
      <c r="O242" s="21" t="s">
        <v>150</v>
      </c>
      <c r="P242" s="21" t="str">
        <f t="shared" si="18"/>
        <v>2024-09</v>
      </c>
      <c r="Q242" s="21">
        <f t="shared" si="19"/>
        <v>2024</v>
      </c>
      <c r="R242" s="34">
        <f t="shared" si="20"/>
        <v>45536</v>
      </c>
      <c r="S242" s="21">
        <f t="shared" si="21"/>
        <v>0</v>
      </c>
      <c r="T242" s="21" t="str">
        <f t="shared" si="22"/>
        <v>Digital</v>
      </c>
      <c r="U242" s="21" t="str">
        <f t="shared" si="23"/>
        <v>One-Time</v>
      </c>
    </row>
    <row r="243" spans="1:21" x14ac:dyDescent="0.3">
      <c r="A243" s="21" t="s">
        <v>896</v>
      </c>
      <c r="B243" s="21">
        <v>404602</v>
      </c>
      <c r="C243" s="21" t="s">
        <v>897</v>
      </c>
      <c r="D243" s="21" t="s">
        <v>898</v>
      </c>
      <c r="E243" s="21" t="s">
        <v>62</v>
      </c>
      <c r="F243" s="21" t="s">
        <v>199</v>
      </c>
      <c r="G243" s="21" t="s">
        <v>120</v>
      </c>
      <c r="H243" s="21" t="s">
        <v>88</v>
      </c>
      <c r="I243" s="21" t="s">
        <v>76</v>
      </c>
      <c r="J243" s="32">
        <v>321922.8</v>
      </c>
      <c r="K243" s="21" t="s">
        <v>72</v>
      </c>
      <c r="L243" s="33">
        <v>45776</v>
      </c>
      <c r="M243" s="21" t="s">
        <v>80</v>
      </c>
      <c r="N243" s="32">
        <v>502408.24</v>
      </c>
      <c r="O243" s="21" t="s">
        <v>150</v>
      </c>
      <c r="P243" s="21" t="str">
        <f t="shared" si="18"/>
        <v>2025-04</v>
      </c>
      <c r="Q243" s="21">
        <f t="shared" si="19"/>
        <v>2025</v>
      </c>
      <c r="R243" s="34">
        <f t="shared" si="20"/>
        <v>45748</v>
      </c>
      <c r="S243" s="21">
        <f t="shared" si="21"/>
        <v>0</v>
      </c>
      <c r="T243" s="21" t="str">
        <f t="shared" si="22"/>
        <v>Cash-Based</v>
      </c>
      <c r="U243" s="21" t="str">
        <f t="shared" si="23"/>
        <v>One-Time</v>
      </c>
    </row>
    <row r="244" spans="1:21" x14ac:dyDescent="0.3">
      <c r="A244" s="21" t="s">
        <v>899</v>
      </c>
      <c r="B244" s="21">
        <v>725385</v>
      </c>
      <c r="C244" s="21" t="s">
        <v>900</v>
      </c>
      <c r="D244" s="21" t="s">
        <v>901</v>
      </c>
      <c r="E244" s="21" t="s">
        <v>62</v>
      </c>
      <c r="F244" s="21" t="s">
        <v>181</v>
      </c>
      <c r="G244" s="21" t="s">
        <v>123</v>
      </c>
      <c r="H244" s="21" t="s">
        <v>87</v>
      </c>
      <c r="I244" s="21" t="s">
        <v>77</v>
      </c>
      <c r="J244" s="32">
        <v>136269.56</v>
      </c>
      <c r="K244" s="21" t="s">
        <v>71</v>
      </c>
      <c r="L244" s="33">
        <v>45403</v>
      </c>
      <c r="M244" s="21" t="s">
        <v>80</v>
      </c>
      <c r="N244" s="32">
        <v>995454.58</v>
      </c>
      <c r="O244" s="21" t="s">
        <v>150</v>
      </c>
      <c r="P244" s="21" t="str">
        <f t="shared" si="18"/>
        <v>2024-04</v>
      </c>
      <c r="Q244" s="21">
        <f t="shared" si="19"/>
        <v>2024</v>
      </c>
      <c r="R244" s="34">
        <f t="shared" si="20"/>
        <v>45383</v>
      </c>
      <c r="S244" s="21">
        <f t="shared" si="21"/>
        <v>0</v>
      </c>
      <c r="T244" s="21" t="str">
        <f t="shared" si="22"/>
        <v>Digital</v>
      </c>
      <c r="U244" s="21" t="str">
        <f t="shared" si="23"/>
        <v>One-Time</v>
      </c>
    </row>
    <row r="245" spans="1:21" x14ac:dyDescent="0.3">
      <c r="A245" s="21" t="s">
        <v>902</v>
      </c>
      <c r="B245" s="21">
        <v>955961</v>
      </c>
      <c r="C245" s="21" t="s">
        <v>903</v>
      </c>
      <c r="D245" s="21" t="s">
        <v>904</v>
      </c>
      <c r="E245" s="21" t="s">
        <v>61</v>
      </c>
      <c r="F245" s="21" t="s">
        <v>279</v>
      </c>
      <c r="G245" s="21" t="s">
        <v>125</v>
      </c>
      <c r="H245" s="21" t="s">
        <v>86</v>
      </c>
      <c r="I245" s="21" t="s">
        <v>75</v>
      </c>
      <c r="J245" s="32">
        <v>75538.210000000006</v>
      </c>
      <c r="K245" s="21" t="s">
        <v>70</v>
      </c>
      <c r="L245" s="33">
        <v>45249</v>
      </c>
      <c r="M245" s="21" t="s">
        <v>80</v>
      </c>
      <c r="N245" s="32">
        <v>328211.21000000002</v>
      </c>
      <c r="O245" s="21" t="s">
        <v>150</v>
      </c>
      <c r="P245" s="21" t="str">
        <f t="shared" si="18"/>
        <v>2023-11</v>
      </c>
      <c r="Q245" s="21">
        <f t="shared" si="19"/>
        <v>2023</v>
      </c>
      <c r="R245" s="34">
        <f t="shared" si="20"/>
        <v>45231</v>
      </c>
      <c r="S245" s="21">
        <f t="shared" si="21"/>
        <v>0</v>
      </c>
      <c r="T245" s="21" t="str">
        <f t="shared" si="22"/>
        <v>Card-Based</v>
      </c>
      <c r="U245" s="21" t="str">
        <f t="shared" si="23"/>
        <v>One-Time</v>
      </c>
    </row>
    <row r="246" spans="1:21" x14ac:dyDescent="0.3">
      <c r="A246" s="21" t="s">
        <v>905</v>
      </c>
      <c r="B246" s="21">
        <v>842640</v>
      </c>
      <c r="C246" s="21" t="s">
        <v>906</v>
      </c>
      <c r="D246" s="21" t="s">
        <v>907</v>
      </c>
      <c r="E246" s="21" t="s">
        <v>61</v>
      </c>
      <c r="F246" s="21" t="s">
        <v>154</v>
      </c>
      <c r="G246" s="21" t="s">
        <v>122</v>
      </c>
      <c r="H246" s="21" t="s">
        <v>88</v>
      </c>
      <c r="I246" s="21" t="s">
        <v>75</v>
      </c>
      <c r="J246" s="32">
        <v>153277.59</v>
      </c>
      <c r="K246" s="21" t="s">
        <v>68</v>
      </c>
      <c r="L246" s="33">
        <v>45744</v>
      </c>
      <c r="M246" s="21" t="s">
        <v>81</v>
      </c>
      <c r="N246" s="32">
        <v>1216224.52</v>
      </c>
      <c r="O246" s="21" t="s">
        <v>150</v>
      </c>
      <c r="P246" s="21" t="str">
        <f t="shared" si="18"/>
        <v>2025-03</v>
      </c>
      <c r="Q246" s="21">
        <f t="shared" si="19"/>
        <v>2025</v>
      </c>
      <c r="R246" s="34">
        <f t="shared" si="20"/>
        <v>45717</v>
      </c>
      <c r="S246" s="21">
        <f t="shared" si="21"/>
        <v>0</v>
      </c>
      <c r="T246" s="21" t="str">
        <f t="shared" si="22"/>
        <v>Digital</v>
      </c>
      <c r="U246" s="21" t="str">
        <f t="shared" si="23"/>
        <v>One-Time</v>
      </c>
    </row>
    <row r="247" spans="1:21" x14ac:dyDescent="0.3">
      <c r="A247" s="21" t="s">
        <v>908</v>
      </c>
      <c r="B247" s="21">
        <v>658891</v>
      </c>
      <c r="C247" s="21" t="s">
        <v>909</v>
      </c>
      <c r="D247" s="21" t="s">
        <v>910</v>
      </c>
      <c r="E247" s="21" t="s">
        <v>64</v>
      </c>
      <c r="F247" s="21" t="s">
        <v>188</v>
      </c>
      <c r="G247" s="21" t="s">
        <v>112</v>
      </c>
      <c r="H247" s="21" t="s">
        <v>89</v>
      </c>
      <c r="I247" s="21" t="s">
        <v>78</v>
      </c>
      <c r="J247" s="32">
        <v>218521.3</v>
      </c>
      <c r="K247" s="21" t="s">
        <v>70</v>
      </c>
      <c r="L247" s="33">
        <v>45795</v>
      </c>
      <c r="M247" s="21" t="s">
        <v>80</v>
      </c>
      <c r="N247" s="32">
        <v>963128.35</v>
      </c>
      <c r="O247" s="21" t="s">
        <v>150</v>
      </c>
      <c r="P247" s="21" t="str">
        <f t="shared" si="18"/>
        <v>2025-05</v>
      </c>
      <c r="Q247" s="21">
        <f t="shared" si="19"/>
        <v>2025</v>
      </c>
      <c r="R247" s="34">
        <f t="shared" si="20"/>
        <v>45778</v>
      </c>
      <c r="S247" s="21">
        <f t="shared" si="21"/>
        <v>0</v>
      </c>
      <c r="T247" s="21" t="str">
        <f t="shared" si="22"/>
        <v>Card-Based</v>
      </c>
      <c r="U247" s="21" t="str">
        <f t="shared" si="23"/>
        <v>One-Time</v>
      </c>
    </row>
    <row r="248" spans="1:21" x14ac:dyDescent="0.3">
      <c r="A248" s="21" t="s">
        <v>911</v>
      </c>
      <c r="B248" s="21">
        <v>760603</v>
      </c>
      <c r="C248" s="21" t="s">
        <v>912</v>
      </c>
      <c r="D248" s="21" t="s">
        <v>913</v>
      </c>
      <c r="E248" s="21" t="s">
        <v>64</v>
      </c>
      <c r="F248" s="21" t="s">
        <v>177</v>
      </c>
      <c r="G248" s="21" t="s">
        <v>113</v>
      </c>
      <c r="H248" s="21" t="s">
        <v>86</v>
      </c>
      <c r="I248" s="21" t="s">
        <v>75</v>
      </c>
      <c r="J248" s="32">
        <v>217272.91</v>
      </c>
      <c r="K248" s="21" t="s">
        <v>72</v>
      </c>
      <c r="L248" s="33">
        <v>45609</v>
      </c>
      <c r="M248" s="21" t="s">
        <v>80</v>
      </c>
      <c r="N248" s="32">
        <v>2206115.66</v>
      </c>
      <c r="O248" s="21" t="s">
        <v>150</v>
      </c>
      <c r="P248" s="21" t="str">
        <f t="shared" si="18"/>
        <v>2024-11</v>
      </c>
      <c r="Q248" s="21">
        <f t="shared" si="19"/>
        <v>2024</v>
      </c>
      <c r="R248" s="34">
        <f t="shared" si="20"/>
        <v>45597</v>
      </c>
      <c r="S248" s="21">
        <f t="shared" si="21"/>
        <v>0</v>
      </c>
      <c r="T248" s="21" t="str">
        <f t="shared" si="22"/>
        <v>Cash-Based</v>
      </c>
      <c r="U248" s="21" t="str">
        <f t="shared" si="23"/>
        <v>One-Time</v>
      </c>
    </row>
    <row r="249" spans="1:21" x14ac:dyDescent="0.3">
      <c r="A249" s="21" t="s">
        <v>914</v>
      </c>
      <c r="B249" s="21">
        <v>433063</v>
      </c>
      <c r="C249" s="21" t="s">
        <v>915</v>
      </c>
      <c r="D249" s="21" t="s">
        <v>916</v>
      </c>
      <c r="E249" s="21" t="s">
        <v>62</v>
      </c>
      <c r="F249" s="21" t="s">
        <v>310</v>
      </c>
      <c r="G249" s="21" t="s">
        <v>110</v>
      </c>
      <c r="H249" s="21" t="s">
        <v>87</v>
      </c>
      <c r="I249" s="21" t="s">
        <v>78</v>
      </c>
      <c r="J249" s="32">
        <v>143368.07999999999</v>
      </c>
      <c r="K249" s="21" t="s">
        <v>69</v>
      </c>
      <c r="L249" s="33">
        <v>45170</v>
      </c>
      <c r="M249" s="21" t="s">
        <v>80</v>
      </c>
      <c r="N249" s="32">
        <v>1521366.68</v>
      </c>
      <c r="O249" s="21" t="s">
        <v>150</v>
      </c>
      <c r="P249" s="21" t="str">
        <f t="shared" si="18"/>
        <v>2023-09</v>
      </c>
      <c r="Q249" s="21">
        <f t="shared" si="19"/>
        <v>2023</v>
      </c>
      <c r="R249" s="34">
        <f t="shared" si="20"/>
        <v>45170</v>
      </c>
      <c r="S249" s="21">
        <f t="shared" si="21"/>
        <v>0</v>
      </c>
      <c r="T249" s="21" t="str">
        <f t="shared" si="22"/>
        <v>Card-Based</v>
      </c>
      <c r="U249" s="21" t="str">
        <f t="shared" si="23"/>
        <v>One-Time</v>
      </c>
    </row>
    <row r="250" spans="1:21" x14ac:dyDescent="0.3">
      <c r="A250" s="21" t="s">
        <v>917</v>
      </c>
      <c r="B250" s="21">
        <v>672763</v>
      </c>
      <c r="C250" s="21" t="s">
        <v>918</v>
      </c>
      <c r="D250" s="21" t="s">
        <v>919</v>
      </c>
      <c r="E250" s="21" t="s">
        <v>62</v>
      </c>
      <c r="F250" s="21" t="s">
        <v>297</v>
      </c>
      <c r="G250" s="21" t="s">
        <v>111</v>
      </c>
      <c r="H250" s="21" t="s">
        <v>88</v>
      </c>
      <c r="I250" s="21" t="s">
        <v>77</v>
      </c>
      <c r="J250" s="32">
        <v>130031.31</v>
      </c>
      <c r="K250" s="21" t="s">
        <v>68</v>
      </c>
      <c r="L250" s="33">
        <v>45619</v>
      </c>
      <c r="M250" s="21" t="s">
        <v>80</v>
      </c>
      <c r="N250" s="32">
        <v>429077.61</v>
      </c>
      <c r="O250" s="21" t="s">
        <v>150</v>
      </c>
      <c r="P250" s="21" t="str">
        <f t="shared" si="18"/>
        <v>2024-11</v>
      </c>
      <c r="Q250" s="21">
        <f t="shared" si="19"/>
        <v>2024</v>
      </c>
      <c r="R250" s="34">
        <f t="shared" si="20"/>
        <v>45597</v>
      </c>
      <c r="S250" s="21">
        <f t="shared" si="21"/>
        <v>0</v>
      </c>
      <c r="T250" s="21" t="str">
        <f t="shared" si="22"/>
        <v>Digital</v>
      </c>
      <c r="U250" s="21" t="str">
        <f t="shared" si="23"/>
        <v>One-Time</v>
      </c>
    </row>
    <row r="251" spans="1:21" x14ac:dyDescent="0.3">
      <c r="A251" s="21" t="s">
        <v>920</v>
      </c>
      <c r="B251" s="21">
        <v>833709</v>
      </c>
      <c r="C251" s="21" t="s">
        <v>921</v>
      </c>
      <c r="D251" s="21" t="s">
        <v>922</v>
      </c>
      <c r="E251" s="21" t="s">
        <v>64</v>
      </c>
      <c r="F251" s="21" t="s">
        <v>188</v>
      </c>
      <c r="G251" s="21" t="s">
        <v>112</v>
      </c>
      <c r="H251" s="21" t="s">
        <v>88</v>
      </c>
      <c r="I251" s="21" t="s">
        <v>78</v>
      </c>
      <c r="J251" s="32">
        <v>376737.14</v>
      </c>
      <c r="K251" s="21" t="s">
        <v>69</v>
      </c>
      <c r="L251" s="33">
        <v>45560</v>
      </c>
      <c r="M251" s="21" t="s">
        <v>80</v>
      </c>
      <c r="N251" s="32">
        <v>2046300.22</v>
      </c>
      <c r="O251" s="21" t="s">
        <v>150</v>
      </c>
      <c r="P251" s="21" t="str">
        <f t="shared" si="18"/>
        <v>2024-09</v>
      </c>
      <c r="Q251" s="21">
        <f t="shared" si="19"/>
        <v>2024</v>
      </c>
      <c r="R251" s="34">
        <f t="shared" si="20"/>
        <v>45536</v>
      </c>
      <c r="S251" s="21">
        <f t="shared" si="21"/>
        <v>0</v>
      </c>
      <c r="T251" s="21" t="str">
        <f t="shared" si="22"/>
        <v>Card-Based</v>
      </c>
      <c r="U251" s="21" t="str">
        <f t="shared" si="23"/>
        <v>One-Time</v>
      </c>
    </row>
    <row r="252" spans="1:21" x14ac:dyDescent="0.3">
      <c r="A252" s="21" t="s">
        <v>923</v>
      </c>
      <c r="B252" s="21">
        <v>730030</v>
      </c>
      <c r="C252" s="21" t="s">
        <v>924</v>
      </c>
      <c r="D252" s="21" t="s">
        <v>925</v>
      </c>
      <c r="E252" s="21" t="s">
        <v>64</v>
      </c>
      <c r="F252" s="21" t="s">
        <v>177</v>
      </c>
      <c r="G252" s="21" t="s">
        <v>113</v>
      </c>
      <c r="H252" s="21" t="s">
        <v>89</v>
      </c>
      <c r="I252" s="21" t="s">
        <v>75</v>
      </c>
      <c r="J252" s="32">
        <v>32866.42</v>
      </c>
      <c r="K252" s="21" t="s">
        <v>72</v>
      </c>
      <c r="L252" s="33">
        <v>45481</v>
      </c>
      <c r="M252" s="21" t="s">
        <v>80</v>
      </c>
      <c r="N252" s="32">
        <v>1682102.9</v>
      </c>
      <c r="O252" s="21" t="s">
        <v>150</v>
      </c>
      <c r="P252" s="21" t="str">
        <f t="shared" si="18"/>
        <v>2024-07</v>
      </c>
      <c r="Q252" s="21">
        <f t="shared" si="19"/>
        <v>2024</v>
      </c>
      <c r="R252" s="34">
        <f t="shared" si="20"/>
        <v>45474</v>
      </c>
      <c r="S252" s="21">
        <f t="shared" si="21"/>
        <v>0</v>
      </c>
      <c r="T252" s="21" t="str">
        <f t="shared" si="22"/>
        <v>Cash-Based</v>
      </c>
      <c r="U252" s="21" t="str">
        <f t="shared" si="23"/>
        <v>One-Time</v>
      </c>
    </row>
    <row r="253" spans="1:21" x14ac:dyDescent="0.3">
      <c r="A253" s="21" t="s">
        <v>926</v>
      </c>
      <c r="B253" s="21">
        <v>973241</v>
      </c>
      <c r="C253" s="21" t="s">
        <v>927</v>
      </c>
      <c r="D253" s="21" t="s">
        <v>928</v>
      </c>
      <c r="E253" s="21" t="s">
        <v>60</v>
      </c>
      <c r="F253" s="21" t="s">
        <v>149</v>
      </c>
      <c r="G253" s="21" t="s">
        <v>119</v>
      </c>
      <c r="H253" s="21" t="s">
        <v>88</v>
      </c>
      <c r="I253" s="21" t="s">
        <v>77</v>
      </c>
      <c r="J253" s="32">
        <v>7697.03</v>
      </c>
      <c r="K253" s="21" t="s">
        <v>69</v>
      </c>
      <c r="L253" s="33">
        <v>45414</v>
      </c>
      <c r="M253" s="21" t="s">
        <v>80</v>
      </c>
      <c r="N253" s="32">
        <v>1549364.71</v>
      </c>
      <c r="O253" s="21" t="s">
        <v>150</v>
      </c>
      <c r="P253" s="21" t="str">
        <f t="shared" si="18"/>
        <v>2024-05</v>
      </c>
      <c r="Q253" s="21">
        <f t="shared" si="19"/>
        <v>2024</v>
      </c>
      <c r="R253" s="34">
        <f t="shared" si="20"/>
        <v>45413</v>
      </c>
      <c r="S253" s="21">
        <f t="shared" si="21"/>
        <v>0</v>
      </c>
      <c r="T253" s="21" t="str">
        <f t="shared" si="22"/>
        <v>Card-Based</v>
      </c>
      <c r="U253" s="21" t="str">
        <f t="shared" si="23"/>
        <v>One-Time</v>
      </c>
    </row>
    <row r="254" spans="1:21" x14ac:dyDescent="0.3">
      <c r="A254" s="21" t="s">
        <v>929</v>
      </c>
      <c r="B254" s="21">
        <v>700274</v>
      </c>
      <c r="C254" s="21" t="s">
        <v>930</v>
      </c>
      <c r="D254" s="21" t="s">
        <v>931</v>
      </c>
      <c r="E254" s="21" t="s">
        <v>60</v>
      </c>
      <c r="F254" s="21" t="s">
        <v>149</v>
      </c>
      <c r="G254" s="21" t="s">
        <v>119</v>
      </c>
      <c r="H254" s="21" t="s">
        <v>86</v>
      </c>
      <c r="I254" s="21" t="s">
        <v>77</v>
      </c>
      <c r="J254" s="32">
        <v>131363.76999999999</v>
      </c>
      <c r="K254" s="21" t="s">
        <v>68</v>
      </c>
      <c r="L254" s="33">
        <v>45118</v>
      </c>
      <c r="M254" s="21" t="s">
        <v>81</v>
      </c>
      <c r="N254" s="32">
        <v>1790482.77</v>
      </c>
      <c r="O254" s="21" t="s">
        <v>150</v>
      </c>
      <c r="P254" s="21" t="str">
        <f t="shared" si="18"/>
        <v>2023-07</v>
      </c>
      <c r="Q254" s="21">
        <f t="shared" si="19"/>
        <v>2023</v>
      </c>
      <c r="R254" s="34">
        <f t="shared" si="20"/>
        <v>45108</v>
      </c>
      <c r="S254" s="21">
        <f t="shared" si="21"/>
        <v>0</v>
      </c>
      <c r="T254" s="21" t="str">
        <f t="shared" si="22"/>
        <v>Digital</v>
      </c>
      <c r="U254" s="21" t="str">
        <f t="shared" si="23"/>
        <v>One-Time</v>
      </c>
    </row>
    <row r="255" spans="1:21" x14ac:dyDescent="0.3">
      <c r="A255" s="21" t="s">
        <v>932</v>
      </c>
      <c r="B255" s="21">
        <v>585434</v>
      </c>
      <c r="C255" s="21" t="s">
        <v>933</v>
      </c>
      <c r="D255" s="21" t="s">
        <v>934</v>
      </c>
      <c r="E255" s="21" t="s">
        <v>63</v>
      </c>
      <c r="F255" s="21" t="s">
        <v>227</v>
      </c>
      <c r="G255" s="21" t="s">
        <v>118</v>
      </c>
      <c r="H255" s="21" t="s">
        <v>86</v>
      </c>
      <c r="I255" s="21" t="s">
        <v>75</v>
      </c>
      <c r="J255" s="32">
        <v>197351.19</v>
      </c>
      <c r="K255" s="21" t="s">
        <v>68</v>
      </c>
      <c r="L255" s="33">
        <v>45413</v>
      </c>
      <c r="M255" s="21" t="s">
        <v>80</v>
      </c>
      <c r="N255" s="32">
        <v>735561.71</v>
      </c>
      <c r="O255" s="21" t="s">
        <v>150</v>
      </c>
      <c r="P255" s="21" t="str">
        <f t="shared" si="18"/>
        <v>2024-05</v>
      </c>
      <c r="Q255" s="21">
        <f t="shared" si="19"/>
        <v>2024</v>
      </c>
      <c r="R255" s="34">
        <f t="shared" si="20"/>
        <v>45413</v>
      </c>
      <c r="S255" s="21">
        <f t="shared" si="21"/>
        <v>0</v>
      </c>
      <c r="T255" s="21" t="str">
        <f t="shared" si="22"/>
        <v>Digital</v>
      </c>
      <c r="U255" s="21" t="str">
        <f t="shared" si="23"/>
        <v>One-Time</v>
      </c>
    </row>
    <row r="256" spans="1:21" x14ac:dyDescent="0.3">
      <c r="A256" s="21" t="s">
        <v>935</v>
      </c>
      <c r="B256" s="21">
        <v>709387</v>
      </c>
      <c r="C256" s="21" t="s">
        <v>936</v>
      </c>
      <c r="D256" s="21" t="s">
        <v>937</v>
      </c>
      <c r="E256" s="21" t="s">
        <v>60</v>
      </c>
      <c r="F256" s="21" t="s">
        <v>149</v>
      </c>
      <c r="G256" s="21" t="s">
        <v>119</v>
      </c>
      <c r="H256" s="21" t="s">
        <v>88</v>
      </c>
      <c r="I256" s="21" t="s">
        <v>77</v>
      </c>
      <c r="J256" s="32">
        <v>116639.17</v>
      </c>
      <c r="K256" s="21" t="s">
        <v>69</v>
      </c>
      <c r="L256" s="33">
        <v>45416</v>
      </c>
      <c r="M256" s="21" t="s">
        <v>80</v>
      </c>
      <c r="N256" s="32">
        <v>583495.13</v>
      </c>
      <c r="O256" s="21" t="s">
        <v>150</v>
      </c>
      <c r="P256" s="21" t="str">
        <f t="shared" si="18"/>
        <v>2024-05</v>
      </c>
      <c r="Q256" s="21">
        <f t="shared" si="19"/>
        <v>2024</v>
      </c>
      <c r="R256" s="34">
        <f t="shared" si="20"/>
        <v>45413</v>
      </c>
      <c r="S256" s="21">
        <f t="shared" si="21"/>
        <v>0</v>
      </c>
      <c r="T256" s="21" t="str">
        <f t="shared" si="22"/>
        <v>Card-Based</v>
      </c>
      <c r="U256" s="21" t="str">
        <f t="shared" si="23"/>
        <v>One-Time</v>
      </c>
    </row>
    <row r="257" spans="1:21" x14ac:dyDescent="0.3">
      <c r="A257" s="21" t="s">
        <v>938</v>
      </c>
      <c r="B257" s="21">
        <v>545452</v>
      </c>
      <c r="C257" s="21" t="s">
        <v>939</v>
      </c>
      <c r="D257" s="21" t="s">
        <v>940</v>
      </c>
      <c r="E257" s="21" t="s">
        <v>64</v>
      </c>
      <c r="F257" s="21" t="s">
        <v>262</v>
      </c>
      <c r="G257" s="21" t="s">
        <v>131</v>
      </c>
      <c r="H257" s="21" t="s">
        <v>88</v>
      </c>
      <c r="I257" s="21" t="s">
        <v>75</v>
      </c>
      <c r="J257" s="32">
        <v>79661.36</v>
      </c>
      <c r="K257" s="21" t="s">
        <v>68</v>
      </c>
      <c r="L257" s="33">
        <v>45577</v>
      </c>
      <c r="M257" s="21" t="s">
        <v>80</v>
      </c>
      <c r="N257" s="32">
        <v>810409.84</v>
      </c>
      <c r="O257" s="21" t="s">
        <v>150</v>
      </c>
      <c r="P257" s="21" t="str">
        <f t="shared" si="18"/>
        <v>2024-10</v>
      </c>
      <c r="Q257" s="21">
        <f t="shared" si="19"/>
        <v>2024</v>
      </c>
      <c r="R257" s="34">
        <f t="shared" si="20"/>
        <v>45566</v>
      </c>
      <c r="S257" s="21">
        <f t="shared" si="21"/>
        <v>0</v>
      </c>
      <c r="T257" s="21" t="str">
        <f t="shared" si="22"/>
        <v>Digital</v>
      </c>
      <c r="U257" s="21" t="str">
        <f t="shared" si="23"/>
        <v>One-Time</v>
      </c>
    </row>
    <row r="258" spans="1:21" x14ac:dyDescent="0.3">
      <c r="A258" s="21" t="s">
        <v>941</v>
      </c>
      <c r="B258" s="21">
        <v>809306</v>
      </c>
      <c r="C258" s="21" t="s">
        <v>942</v>
      </c>
      <c r="D258" s="21" t="s">
        <v>943</v>
      </c>
      <c r="E258" s="21" t="s">
        <v>64</v>
      </c>
      <c r="F258" s="21" t="s">
        <v>162</v>
      </c>
      <c r="G258" s="21" t="s">
        <v>114</v>
      </c>
      <c r="H258" s="21" t="s">
        <v>87</v>
      </c>
      <c r="I258" s="21" t="s">
        <v>77</v>
      </c>
      <c r="J258" s="32">
        <v>75168.06</v>
      </c>
      <c r="K258" s="21" t="s">
        <v>69</v>
      </c>
      <c r="L258" s="33">
        <v>45551</v>
      </c>
      <c r="M258" s="21" t="s">
        <v>80</v>
      </c>
      <c r="N258" s="32">
        <v>45789.93</v>
      </c>
      <c r="O258" s="21" t="s">
        <v>150</v>
      </c>
      <c r="P258" s="21" t="str">
        <f t="shared" ref="P258:P321" si="24">TEXT(L258,"yyyy-mm")</f>
        <v>2024-09</v>
      </c>
      <c r="Q258" s="21">
        <f t="shared" ref="Q258:Q321" si="25">YEAR(L258)</f>
        <v>2024</v>
      </c>
      <c r="R258" s="34">
        <f t="shared" ref="R258:R321" si="26">DATE(YEAR(L258),MONTH(L258),1)</f>
        <v>45536</v>
      </c>
      <c r="S258" s="21">
        <f t="shared" ref="S258:S321" si="27">IF(O258="Yes",1,0)</f>
        <v>0</v>
      </c>
      <c r="T258" s="21" t="str">
        <f t="shared" ref="T258:T321" si="28">IF(OR(K258="UPI",K258="Net Banking"),"Digital",IF(OR(K258="Debit Card",K258="Credit Card"),"Card-Based",IF(K258="Cash","Cash-Based","Unknown")))</f>
        <v>Card-Based</v>
      </c>
      <c r="U258" s="21" t="str">
        <f t="shared" ref="U258:U321" si="29">IF(COUNTIF($B$2:$B$501,B258)&gt;1,"Frequent","One-Time")</f>
        <v>One-Time</v>
      </c>
    </row>
    <row r="259" spans="1:21" x14ac:dyDescent="0.3">
      <c r="A259" s="21" t="s">
        <v>944</v>
      </c>
      <c r="B259" s="21">
        <v>411009</v>
      </c>
      <c r="C259" s="21" t="s">
        <v>945</v>
      </c>
      <c r="D259" s="21" t="s">
        <v>946</v>
      </c>
      <c r="E259" s="21" t="s">
        <v>62</v>
      </c>
      <c r="F259" s="21" t="s">
        <v>310</v>
      </c>
      <c r="G259" s="21" t="s">
        <v>110</v>
      </c>
      <c r="H259" s="21" t="s">
        <v>89</v>
      </c>
      <c r="I259" s="21" t="s">
        <v>75</v>
      </c>
      <c r="J259" s="32">
        <v>129733.4</v>
      </c>
      <c r="K259" s="21" t="s">
        <v>70</v>
      </c>
      <c r="L259" s="33">
        <v>45252</v>
      </c>
      <c r="M259" s="21" t="s">
        <v>80</v>
      </c>
      <c r="N259" s="32">
        <v>872645.98</v>
      </c>
      <c r="O259" s="21" t="s">
        <v>150</v>
      </c>
      <c r="P259" s="21" t="str">
        <f t="shared" si="24"/>
        <v>2023-11</v>
      </c>
      <c r="Q259" s="21">
        <f t="shared" si="25"/>
        <v>2023</v>
      </c>
      <c r="R259" s="34">
        <f t="shared" si="26"/>
        <v>45231</v>
      </c>
      <c r="S259" s="21">
        <f t="shared" si="27"/>
        <v>0</v>
      </c>
      <c r="T259" s="21" t="str">
        <f t="shared" si="28"/>
        <v>Card-Based</v>
      </c>
      <c r="U259" s="21" t="str">
        <f t="shared" si="29"/>
        <v>One-Time</v>
      </c>
    </row>
    <row r="260" spans="1:21" x14ac:dyDescent="0.3">
      <c r="A260" s="21" t="s">
        <v>947</v>
      </c>
      <c r="B260" s="21">
        <v>704096</v>
      </c>
      <c r="C260" s="21" t="s">
        <v>948</v>
      </c>
      <c r="D260" s="21" t="s">
        <v>949</v>
      </c>
      <c r="E260" s="21" t="s">
        <v>63</v>
      </c>
      <c r="F260" s="21" t="s">
        <v>223</v>
      </c>
      <c r="G260" s="21" t="s">
        <v>129</v>
      </c>
      <c r="H260" s="21" t="s">
        <v>86</v>
      </c>
      <c r="I260" s="21" t="s">
        <v>76</v>
      </c>
      <c r="J260" s="32">
        <v>59283.4</v>
      </c>
      <c r="K260" s="21" t="s">
        <v>72</v>
      </c>
      <c r="L260" s="33">
        <v>45602</v>
      </c>
      <c r="M260" s="21" t="s">
        <v>80</v>
      </c>
      <c r="N260" s="32">
        <v>698051.12</v>
      </c>
      <c r="O260" s="21" t="s">
        <v>150</v>
      </c>
      <c r="P260" s="21" t="str">
        <f t="shared" si="24"/>
        <v>2024-11</v>
      </c>
      <c r="Q260" s="21">
        <f t="shared" si="25"/>
        <v>2024</v>
      </c>
      <c r="R260" s="34">
        <f t="shared" si="26"/>
        <v>45597</v>
      </c>
      <c r="S260" s="21">
        <f t="shared" si="27"/>
        <v>0</v>
      </c>
      <c r="T260" s="21" t="str">
        <f t="shared" si="28"/>
        <v>Cash-Based</v>
      </c>
      <c r="U260" s="21" t="str">
        <f t="shared" si="29"/>
        <v>One-Time</v>
      </c>
    </row>
    <row r="261" spans="1:21" x14ac:dyDescent="0.3">
      <c r="A261" s="21" t="s">
        <v>950</v>
      </c>
      <c r="B261" s="21">
        <v>430975</v>
      </c>
      <c r="C261" s="21" t="s">
        <v>951</v>
      </c>
      <c r="D261" s="21" t="s">
        <v>952</v>
      </c>
      <c r="E261" s="21" t="s">
        <v>64</v>
      </c>
      <c r="F261" s="21" t="s">
        <v>158</v>
      </c>
      <c r="G261" s="21" t="s">
        <v>108</v>
      </c>
      <c r="H261" s="21" t="s">
        <v>87</v>
      </c>
      <c r="I261" s="21" t="s">
        <v>75</v>
      </c>
      <c r="J261" s="32">
        <v>157373.9</v>
      </c>
      <c r="K261" s="21" t="s">
        <v>72</v>
      </c>
      <c r="L261" s="33">
        <v>45240</v>
      </c>
      <c r="M261" s="21" t="s">
        <v>83</v>
      </c>
      <c r="N261" s="32">
        <v>519917.55</v>
      </c>
      <c r="O261" s="21" t="s">
        <v>150</v>
      </c>
      <c r="P261" s="21" t="str">
        <f t="shared" si="24"/>
        <v>2023-11</v>
      </c>
      <c r="Q261" s="21">
        <f t="shared" si="25"/>
        <v>2023</v>
      </c>
      <c r="R261" s="34">
        <f t="shared" si="26"/>
        <v>45231</v>
      </c>
      <c r="S261" s="21">
        <f t="shared" si="27"/>
        <v>0</v>
      </c>
      <c r="T261" s="21" t="str">
        <f t="shared" si="28"/>
        <v>Cash-Based</v>
      </c>
      <c r="U261" s="21" t="str">
        <f t="shared" si="29"/>
        <v>One-Time</v>
      </c>
    </row>
    <row r="262" spans="1:21" x14ac:dyDescent="0.3">
      <c r="A262" s="21" t="s">
        <v>953</v>
      </c>
      <c r="B262" s="21">
        <v>675778</v>
      </c>
      <c r="C262" s="21" t="s">
        <v>954</v>
      </c>
      <c r="D262" s="21" t="s">
        <v>955</v>
      </c>
      <c r="E262" s="21" t="s">
        <v>64</v>
      </c>
      <c r="F262" s="21" t="s">
        <v>162</v>
      </c>
      <c r="G262" s="21" t="s">
        <v>114</v>
      </c>
      <c r="H262" s="21" t="s">
        <v>86</v>
      </c>
      <c r="I262" s="21" t="s">
        <v>76</v>
      </c>
      <c r="J262" s="32">
        <v>395398.6</v>
      </c>
      <c r="K262" s="21" t="s">
        <v>69</v>
      </c>
      <c r="L262" s="33">
        <v>45214</v>
      </c>
      <c r="M262" s="21" t="s">
        <v>80</v>
      </c>
      <c r="N262" s="32">
        <v>1093605.24</v>
      </c>
      <c r="O262" s="21" t="s">
        <v>150</v>
      </c>
      <c r="P262" s="21" t="str">
        <f t="shared" si="24"/>
        <v>2023-10</v>
      </c>
      <c r="Q262" s="21">
        <f t="shared" si="25"/>
        <v>2023</v>
      </c>
      <c r="R262" s="34">
        <f t="shared" si="26"/>
        <v>45200</v>
      </c>
      <c r="S262" s="21">
        <f t="shared" si="27"/>
        <v>0</v>
      </c>
      <c r="T262" s="21" t="str">
        <f t="shared" si="28"/>
        <v>Card-Based</v>
      </c>
      <c r="U262" s="21" t="str">
        <f t="shared" si="29"/>
        <v>One-Time</v>
      </c>
    </row>
    <row r="263" spans="1:21" x14ac:dyDescent="0.3">
      <c r="A263" s="21" t="s">
        <v>956</v>
      </c>
      <c r="B263" s="21">
        <v>103977</v>
      </c>
      <c r="C263" s="21" t="s">
        <v>957</v>
      </c>
      <c r="D263" s="21" t="s">
        <v>958</v>
      </c>
      <c r="E263" s="21" t="s">
        <v>63</v>
      </c>
      <c r="F263" s="21" t="s">
        <v>207</v>
      </c>
      <c r="G263" s="21" t="s">
        <v>127</v>
      </c>
      <c r="H263" s="21" t="s">
        <v>86</v>
      </c>
      <c r="I263" s="21" t="s">
        <v>75</v>
      </c>
      <c r="J263" s="32">
        <v>92274.06</v>
      </c>
      <c r="K263" s="21" t="s">
        <v>71</v>
      </c>
      <c r="L263" s="33">
        <v>45666</v>
      </c>
      <c r="M263" s="21" t="s">
        <v>80</v>
      </c>
      <c r="N263" s="32">
        <v>1309267.04</v>
      </c>
      <c r="O263" s="21" t="s">
        <v>150</v>
      </c>
      <c r="P263" s="21" t="str">
        <f t="shared" si="24"/>
        <v>2025-01</v>
      </c>
      <c r="Q263" s="21">
        <f t="shared" si="25"/>
        <v>2025</v>
      </c>
      <c r="R263" s="34">
        <f t="shared" si="26"/>
        <v>45658</v>
      </c>
      <c r="S263" s="21">
        <f t="shared" si="27"/>
        <v>0</v>
      </c>
      <c r="T263" s="21" t="str">
        <f t="shared" si="28"/>
        <v>Digital</v>
      </c>
      <c r="U263" s="21" t="str">
        <f t="shared" si="29"/>
        <v>One-Time</v>
      </c>
    </row>
    <row r="264" spans="1:21" x14ac:dyDescent="0.3">
      <c r="A264" s="21" t="s">
        <v>959</v>
      </c>
      <c r="B264" s="21">
        <v>749572</v>
      </c>
      <c r="C264" s="21" t="s">
        <v>960</v>
      </c>
      <c r="D264" s="21" t="s">
        <v>961</v>
      </c>
      <c r="E264" s="21" t="s">
        <v>62</v>
      </c>
      <c r="F264" s="21" t="s">
        <v>199</v>
      </c>
      <c r="G264" s="21" t="s">
        <v>120</v>
      </c>
      <c r="H264" s="21" t="s">
        <v>86</v>
      </c>
      <c r="I264" s="21" t="s">
        <v>76</v>
      </c>
      <c r="J264" s="32">
        <v>199776.68</v>
      </c>
      <c r="K264" s="21" t="s">
        <v>68</v>
      </c>
      <c r="L264" s="33">
        <v>45240</v>
      </c>
      <c r="M264" s="21" t="s">
        <v>80</v>
      </c>
      <c r="N264" s="32">
        <v>1633607.23</v>
      </c>
      <c r="O264" s="21" t="s">
        <v>150</v>
      </c>
      <c r="P264" s="21" t="str">
        <f t="shared" si="24"/>
        <v>2023-11</v>
      </c>
      <c r="Q264" s="21">
        <f t="shared" si="25"/>
        <v>2023</v>
      </c>
      <c r="R264" s="34">
        <f t="shared" si="26"/>
        <v>45231</v>
      </c>
      <c r="S264" s="21">
        <f t="shared" si="27"/>
        <v>0</v>
      </c>
      <c r="T264" s="21" t="str">
        <f t="shared" si="28"/>
        <v>Digital</v>
      </c>
      <c r="U264" s="21" t="str">
        <f t="shared" si="29"/>
        <v>One-Time</v>
      </c>
    </row>
    <row r="265" spans="1:21" x14ac:dyDescent="0.3">
      <c r="A265" s="21" t="s">
        <v>962</v>
      </c>
      <c r="B265" s="21">
        <v>563828</v>
      </c>
      <c r="C265" s="21" t="s">
        <v>963</v>
      </c>
      <c r="D265" s="21" t="s">
        <v>964</v>
      </c>
      <c r="E265" s="21" t="s">
        <v>60</v>
      </c>
      <c r="F265" s="21" t="s">
        <v>166</v>
      </c>
      <c r="G265" s="21" t="s">
        <v>107</v>
      </c>
      <c r="H265" s="21" t="s">
        <v>87</v>
      </c>
      <c r="I265" s="21" t="s">
        <v>75</v>
      </c>
      <c r="J265" s="32">
        <v>284384.93</v>
      </c>
      <c r="K265" s="21" t="s">
        <v>72</v>
      </c>
      <c r="L265" s="33">
        <v>45362</v>
      </c>
      <c r="M265" s="21" t="s">
        <v>80</v>
      </c>
      <c r="N265" s="32">
        <v>840176.14</v>
      </c>
      <c r="O265" s="21" t="s">
        <v>150</v>
      </c>
      <c r="P265" s="21" t="str">
        <f t="shared" si="24"/>
        <v>2024-03</v>
      </c>
      <c r="Q265" s="21">
        <f t="shared" si="25"/>
        <v>2024</v>
      </c>
      <c r="R265" s="34">
        <f t="shared" si="26"/>
        <v>45352</v>
      </c>
      <c r="S265" s="21">
        <f t="shared" si="27"/>
        <v>0</v>
      </c>
      <c r="T265" s="21" t="str">
        <f t="shared" si="28"/>
        <v>Cash-Based</v>
      </c>
      <c r="U265" s="21" t="str">
        <f t="shared" si="29"/>
        <v>One-Time</v>
      </c>
    </row>
    <row r="266" spans="1:21" x14ac:dyDescent="0.3">
      <c r="A266" s="21" t="s">
        <v>965</v>
      </c>
      <c r="B266" s="21">
        <v>731100</v>
      </c>
      <c r="C266" s="21" t="s">
        <v>966</v>
      </c>
      <c r="D266" s="21" t="s">
        <v>967</v>
      </c>
      <c r="E266" s="21" t="s">
        <v>64</v>
      </c>
      <c r="F266" s="21" t="s">
        <v>158</v>
      </c>
      <c r="G266" s="21" t="s">
        <v>108</v>
      </c>
      <c r="H266" s="21" t="s">
        <v>88</v>
      </c>
      <c r="I266" s="21" t="s">
        <v>75</v>
      </c>
      <c r="J266" s="32">
        <v>98228.26</v>
      </c>
      <c r="K266" s="21" t="s">
        <v>71</v>
      </c>
      <c r="L266" s="33">
        <v>45327</v>
      </c>
      <c r="M266" s="21" t="s">
        <v>80</v>
      </c>
      <c r="N266" s="32">
        <v>642282.19999999995</v>
      </c>
      <c r="O266" s="21" t="s">
        <v>150</v>
      </c>
      <c r="P266" s="21" t="str">
        <f t="shared" si="24"/>
        <v>2024-02</v>
      </c>
      <c r="Q266" s="21">
        <f t="shared" si="25"/>
        <v>2024</v>
      </c>
      <c r="R266" s="34">
        <f t="shared" si="26"/>
        <v>45323</v>
      </c>
      <c r="S266" s="21">
        <f t="shared" si="27"/>
        <v>0</v>
      </c>
      <c r="T266" s="21" t="str">
        <f t="shared" si="28"/>
        <v>Digital</v>
      </c>
      <c r="U266" s="21" t="str">
        <f t="shared" si="29"/>
        <v>One-Time</v>
      </c>
    </row>
    <row r="267" spans="1:21" x14ac:dyDescent="0.3">
      <c r="A267" s="21" t="s">
        <v>968</v>
      </c>
      <c r="B267" s="21">
        <v>156081</v>
      </c>
      <c r="C267" s="21" t="s">
        <v>969</v>
      </c>
      <c r="D267" s="21" t="s">
        <v>970</v>
      </c>
      <c r="E267" s="21" t="s">
        <v>61</v>
      </c>
      <c r="F267" s="21" t="s">
        <v>330</v>
      </c>
      <c r="G267" s="21" t="s">
        <v>121</v>
      </c>
      <c r="H267" s="21" t="s">
        <v>89</v>
      </c>
      <c r="I267" s="21" t="s">
        <v>77</v>
      </c>
      <c r="J267" s="32">
        <v>115176.64</v>
      </c>
      <c r="K267" s="21" t="s">
        <v>70</v>
      </c>
      <c r="L267" s="33">
        <v>45139</v>
      </c>
      <c r="M267" s="21" t="s">
        <v>82</v>
      </c>
      <c r="N267" s="32">
        <v>1728716.25</v>
      </c>
      <c r="O267" s="21" t="s">
        <v>150</v>
      </c>
      <c r="P267" s="21" t="str">
        <f t="shared" si="24"/>
        <v>2023-08</v>
      </c>
      <c r="Q267" s="21">
        <f t="shared" si="25"/>
        <v>2023</v>
      </c>
      <c r="R267" s="34">
        <f t="shared" si="26"/>
        <v>45139</v>
      </c>
      <c r="S267" s="21">
        <f t="shared" si="27"/>
        <v>0</v>
      </c>
      <c r="T267" s="21" t="str">
        <f t="shared" si="28"/>
        <v>Card-Based</v>
      </c>
      <c r="U267" s="21" t="str">
        <f t="shared" si="29"/>
        <v>One-Time</v>
      </c>
    </row>
    <row r="268" spans="1:21" x14ac:dyDescent="0.3">
      <c r="A268" s="21" t="s">
        <v>971</v>
      </c>
      <c r="B268" s="21">
        <v>776252</v>
      </c>
      <c r="C268" s="21" t="s">
        <v>972</v>
      </c>
      <c r="D268" s="21" t="s">
        <v>973</v>
      </c>
      <c r="E268" s="21" t="s">
        <v>62</v>
      </c>
      <c r="F268" s="21" t="s">
        <v>275</v>
      </c>
      <c r="G268" s="21" t="s">
        <v>109</v>
      </c>
      <c r="H268" s="21" t="s">
        <v>86</v>
      </c>
      <c r="I268" s="21" t="s">
        <v>76</v>
      </c>
      <c r="J268" s="32">
        <v>466320.11</v>
      </c>
      <c r="K268" s="21" t="s">
        <v>68</v>
      </c>
      <c r="L268" s="33">
        <v>45646</v>
      </c>
      <c r="M268" s="21" t="s">
        <v>82</v>
      </c>
      <c r="N268" s="32">
        <v>1960336.41</v>
      </c>
      <c r="O268" s="21" t="s">
        <v>150</v>
      </c>
      <c r="P268" s="21" t="str">
        <f t="shared" si="24"/>
        <v>2024-12</v>
      </c>
      <c r="Q268" s="21">
        <f t="shared" si="25"/>
        <v>2024</v>
      </c>
      <c r="R268" s="34">
        <f t="shared" si="26"/>
        <v>45627</v>
      </c>
      <c r="S268" s="21">
        <f t="shared" si="27"/>
        <v>0</v>
      </c>
      <c r="T268" s="21" t="str">
        <f t="shared" si="28"/>
        <v>Digital</v>
      </c>
      <c r="U268" s="21" t="str">
        <f t="shared" si="29"/>
        <v>One-Time</v>
      </c>
    </row>
    <row r="269" spans="1:21" x14ac:dyDescent="0.3">
      <c r="A269" s="21" t="s">
        <v>974</v>
      </c>
      <c r="B269" s="21">
        <v>139106</v>
      </c>
      <c r="C269" s="21" t="s">
        <v>975</v>
      </c>
      <c r="D269" s="21" t="s">
        <v>976</v>
      </c>
      <c r="E269" s="21" t="s">
        <v>60</v>
      </c>
      <c r="F269" s="21" t="s">
        <v>166</v>
      </c>
      <c r="G269" s="21" t="s">
        <v>107</v>
      </c>
      <c r="H269" s="21" t="s">
        <v>87</v>
      </c>
      <c r="I269" s="21" t="s">
        <v>75</v>
      </c>
      <c r="J269" s="32">
        <v>200163.67</v>
      </c>
      <c r="K269" s="21" t="s">
        <v>72</v>
      </c>
      <c r="L269" s="33">
        <v>45222</v>
      </c>
      <c r="M269" s="21" t="s">
        <v>83</v>
      </c>
      <c r="N269" s="32">
        <v>415663.7</v>
      </c>
      <c r="O269" s="21" t="s">
        <v>150</v>
      </c>
      <c r="P269" s="21" t="str">
        <f t="shared" si="24"/>
        <v>2023-10</v>
      </c>
      <c r="Q269" s="21">
        <f t="shared" si="25"/>
        <v>2023</v>
      </c>
      <c r="R269" s="34">
        <f t="shared" si="26"/>
        <v>45200</v>
      </c>
      <c r="S269" s="21">
        <f t="shared" si="27"/>
        <v>0</v>
      </c>
      <c r="T269" s="21" t="str">
        <f t="shared" si="28"/>
        <v>Cash-Based</v>
      </c>
      <c r="U269" s="21" t="str">
        <f t="shared" si="29"/>
        <v>One-Time</v>
      </c>
    </row>
    <row r="270" spans="1:21" x14ac:dyDescent="0.3">
      <c r="A270" s="21" t="s">
        <v>977</v>
      </c>
      <c r="B270" s="21">
        <v>694119</v>
      </c>
      <c r="C270" s="21" t="s">
        <v>978</v>
      </c>
      <c r="D270" s="21" t="s">
        <v>979</v>
      </c>
      <c r="E270" s="21" t="s">
        <v>62</v>
      </c>
      <c r="F270" s="21" t="s">
        <v>297</v>
      </c>
      <c r="G270" s="21" t="s">
        <v>111</v>
      </c>
      <c r="H270" s="21" t="s">
        <v>89</v>
      </c>
      <c r="I270" s="21" t="s">
        <v>75</v>
      </c>
      <c r="J270" s="32">
        <v>227121.19</v>
      </c>
      <c r="K270" s="21" t="s">
        <v>70</v>
      </c>
      <c r="L270" s="33">
        <v>45792</v>
      </c>
      <c r="M270" s="21" t="s">
        <v>80</v>
      </c>
      <c r="N270" s="32">
        <v>1348492.26</v>
      </c>
      <c r="O270" s="21" t="s">
        <v>150</v>
      </c>
      <c r="P270" s="21" t="str">
        <f t="shared" si="24"/>
        <v>2025-05</v>
      </c>
      <c r="Q270" s="21">
        <f t="shared" si="25"/>
        <v>2025</v>
      </c>
      <c r="R270" s="34">
        <f t="shared" si="26"/>
        <v>45778</v>
      </c>
      <c r="S270" s="21">
        <f t="shared" si="27"/>
        <v>0</v>
      </c>
      <c r="T270" s="21" t="str">
        <f t="shared" si="28"/>
        <v>Card-Based</v>
      </c>
      <c r="U270" s="21" t="str">
        <f t="shared" si="29"/>
        <v>One-Time</v>
      </c>
    </row>
    <row r="271" spans="1:21" x14ac:dyDescent="0.3">
      <c r="A271" s="21" t="s">
        <v>980</v>
      </c>
      <c r="B271" s="21">
        <v>523970</v>
      </c>
      <c r="C271" s="21" t="s">
        <v>981</v>
      </c>
      <c r="D271" s="21" t="s">
        <v>982</v>
      </c>
      <c r="E271" s="21" t="s">
        <v>60</v>
      </c>
      <c r="F271" s="21" t="s">
        <v>149</v>
      </c>
      <c r="G271" s="21" t="s">
        <v>119</v>
      </c>
      <c r="H271" s="21" t="s">
        <v>87</v>
      </c>
      <c r="I271" s="21" t="s">
        <v>76</v>
      </c>
      <c r="J271" s="32">
        <v>369861.85</v>
      </c>
      <c r="K271" s="21" t="s">
        <v>68</v>
      </c>
      <c r="L271" s="33">
        <v>45295</v>
      </c>
      <c r="M271" s="21" t="s">
        <v>81</v>
      </c>
      <c r="N271" s="32">
        <v>1630300.12</v>
      </c>
      <c r="O271" s="21" t="s">
        <v>150</v>
      </c>
      <c r="P271" s="21" t="str">
        <f t="shared" si="24"/>
        <v>2024-01</v>
      </c>
      <c r="Q271" s="21">
        <f t="shared" si="25"/>
        <v>2024</v>
      </c>
      <c r="R271" s="34">
        <f t="shared" si="26"/>
        <v>45292</v>
      </c>
      <c r="S271" s="21">
        <f t="shared" si="27"/>
        <v>0</v>
      </c>
      <c r="T271" s="21" t="str">
        <f t="shared" si="28"/>
        <v>Digital</v>
      </c>
      <c r="U271" s="21" t="str">
        <f t="shared" si="29"/>
        <v>One-Time</v>
      </c>
    </row>
    <row r="272" spans="1:21" x14ac:dyDescent="0.3">
      <c r="A272" s="21" t="s">
        <v>983</v>
      </c>
      <c r="B272" s="21">
        <v>962182</v>
      </c>
      <c r="C272" s="21" t="s">
        <v>984</v>
      </c>
      <c r="D272" s="21" t="s">
        <v>985</v>
      </c>
      <c r="E272" s="21" t="s">
        <v>60</v>
      </c>
      <c r="F272" s="21" t="s">
        <v>166</v>
      </c>
      <c r="G272" s="21" t="s">
        <v>107</v>
      </c>
      <c r="H272" s="21" t="s">
        <v>86</v>
      </c>
      <c r="I272" s="21" t="s">
        <v>78</v>
      </c>
      <c r="J272" s="32">
        <v>381535.21</v>
      </c>
      <c r="K272" s="21" t="s">
        <v>70</v>
      </c>
      <c r="L272" s="33">
        <v>45698</v>
      </c>
      <c r="M272" s="21" t="s">
        <v>80</v>
      </c>
      <c r="N272" s="32">
        <v>1014653.83</v>
      </c>
      <c r="O272" s="21" t="s">
        <v>150</v>
      </c>
      <c r="P272" s="21" t="str">
        <f t="shared" si="24"/>
        <v>2025-02</v>
      </c>
      <c r="Q272" s="21">
        <f t="shared" si="25"/>
        <v>2025</v>
      </c>
      <c r="R272" s="34">
        <f t="shared" si="26"/>
        <v>45689</v>
      </c>
      <c r="S272" s="21">
        <f t="shared" si="27"/>
        <v>0</v>
      </c>
      <c r="T272" s="21" t="str">
        <f t="shared" si="28"/>
        <v>Card-Based</v>
      </c>
      <c r="U272" s="21" t="str">
        <f t="shared" si="29"/>
        <v>One-Time</v>
      </c>
    </row>
    <row r="273" spans="1:21" x14ac:dyDescent="0.3">
      <c r="A273" s="21" t="s">
        <v>986</v>
      </c>
      <c r="B273" s="21">
        <v>780928</v>
      </c>
      <c r="C273" s="21" t="s">
        <v>987</v>
      </c>
      <c r="D273" s="21" t="s">
        <v>988</v>
      </c>
      <c r="E273" s="21" t="s">
        <v>64</v>
      </c>
      <c r="F273" s="21" t="s">
        <v>177</v>
      </c>
      <c r="G273" s="21" t="s">
        <v>113</v>
      </c>
      <c r="H273" s="21" t="s">
        <v>86</v>
      </c>
      <c r="I273" s="21" t="s">
        <v>77</v>
      </c>
      <c r="J273" s="32">
        <v>4845.92</v>
      </c>
      <c r="K273" s="21" t="s">
        <v>69</v>
      </c>
      <c r="L273" s="33">
        <v>45161</v>
      </c>
      <c r="M273" s="21" t="s">
        <v>80</v>
      </c>
      <c r="N273" s="32">
        <v>1977987.89</v>
      </c>
      <c r="O273" s="21" t="s">
        <v>150</v>
      </c>
      <c r="P273" s="21" t="str">
        <f t="shared" si="24"/>
        <v>2023-08</v>
      </c>
      <c r="Q273" s="21">
        <f t="shared" si="25"/>
        <v>2023</v>
      </c>
      <c r="R273" s="34">
        <f t="shared" si="26"/>
        <v>45139</v>
      </c>
      <c r="S273" s="21">
        <f t="shared" si="27"/>
        <v>0</v>
      </c>
      <c r="T273" s="21" t="str">
        <f t="shared" si="28"/>
        <v>Card-Based</v>
      </c>
      <c r="U273" s="21" t="str">
        <f t="shared" si="29"/>
        <v>One-Time</v>
      </c>
    </row>
    <row r="274" spans="1:21" x14ac:dyDescent="0.3">
      <c r="A274" s="21" t="s">
        <v>989</v>
      </c>
      <c r="B274" s="21">
        <v>421539</v>
      </c>
      <c r="C274" s="21" t="s">
        <v>990</v>
      </c>
      <c r="D274" s="21" t="s">
        <v>991</v>
      </c>
      <c r="E274" s="21" t="s">
        <v>62</v>
      </c>
      <c r="F274" s="21" t="s">
        <v>199</v>
      </c>
      <c r="G274" s="21" t="s">
        <v>120</v>
      </c>
      <c r="H274" s="21" t="s">
        <v>87</v>
      </c>
      <c r="I274" s="21" t="s">
        <v>75</v>
      </c>
      <c r="J274" s="32">
        <v>205821.35</v>
      </c>
      <c r="K274" s="21" t="s">
        <v>68</v>
      </c>
      <c r="L274" s="33">
        <v>45757</v>
      </c>
      <c r="M274" s="21" t="s">
        <v>80</v>
      </c>
      <c r="N274" s="32">
        <v>1206544.3400000001</v>
      </c>
      <c r="O274" s="21" t="s">
        <v>150</v>
      </c>
      <c r="P274" s="21" t="str">
        <f t="shared" si="24"/>
        <v>2025-04</v>
      </c>
      <c r="Q274" s="21">
        <f t="shared" si="25"/>
        <v>2025</v>
      </c>
      <c r="R274" s="34">
        <f t="shared" si="26"/>
        <v>45748</v>
      </c>
      <c r="S274" s="21">
        <f t="shared" si="27"/>
        <v>0</v>
      </c>
      <c r="T274" s="21" t="str">
        <f t="shared" si="28"/>
        <v>Digital</v>
      </c>
      <c r="U274" s="21" t="str">
        <f t="shared" si="29"/>
        <v>One-Time</v>
      </c>
    </row>
    <row r="275" spans="1:21" x14ac:dyDescent="0.3">
      <c r="A275" s="21" t="s">
        <v>992</v>
      </c>
      <c r="B275" s="21">
        <v>826365</v>
      </c>
      <c r="C275" s="21" t="s">
        <v>993</v>
      </c>
      <c r="D275" s="21" t="s">
        <v>994</v>
      </c>
      <c r="E275" s="21" t="s">
        <v>60</v>
      </c>
      <c r="F275" s="21" t="s">
        <v>286</v>
      </c>
      <c r="G275" s="21" t="s">
        <v>124</v>
      </c>
      <c r="H275" s="21" t="s">
        <v>88</v>
      </c>
      <c r="I275" s="21" t="s">
        <v>78</v>
      </c>
      <c r="J275" s="32">
        <v>193788.6</v>
      </c>
      <c r="K275" s="21" t="s">
        <v>72</v>
      </c>
      <c r="L275" s="33">
        <v>45402</v>
      </c>
      <c r="M275" s="21" t="s">
        <v>80</v>
      </c>
      <c r="N275" s="32">
        <v>1163250.32</v>
      </c>
      <c r="O275" s="21" t="s">
        <v>150</v>
      </c>
      <c r="P275" s="21" t="str">
        <f t="shared" si="24"/>
        <v>2024-04</v>
      </c>
      <c r="Q275" s="21">
        <f t="shared" si="25"/>
        <v>2024</v>
      </c>
      <c r="R275" s="34">
        <f t="shared" si="26"/>
        <v>45383</v>
      </c>
      <c r="S275" s="21">
        <f t="shared" si="27"/>
        <v>0</v>
      </c>
      <c r="T275" s="21" t="str">
        <f t="shared" si="28"/>
        <v>Cash-Based</v>
      </c>
      <c r="U275" s="21" t="str">
        <f t="shared" si="29"/>
        <v>One-Time</v>
      </c>
    </row>
    <row r="276" spans="1:21" x14ac:dyDescent="0.3">
      <c r="A276" s="21" t="s">
        <v>995</v>
      </c>
      <c r="B276" s="21">
        <v>579900</v>
      </c>
      <c r="C276" s="21" t="s">
        <v>996</v>
      </c>
      <c r="D276" s="21" t="s">
        <v>997</v>
      </c>
      <c r="E276" s="21" t="s">
        <v>61</v>
      </c>
      <c r="F276" s="21" t="s">
        <v>279</v>
      </c>
      <c r="G276" s="21" t="s">
        <v>125</v>
      </c>
      <c r="H276" s="21" t="s">
        <v>87</v>
      </c>
      <c r="I276" s="21" t="s">
        <v>77</v>
      </c>
      <c r="J276" s="32">
        <v>126460.13</v>
      </c>
      <c r="K276" s="21" t="s">
        <v>70</v>
      </c>
      <c r="L276" s="33">
        <v>45690</v>
      </c>
      <c r="M276" s="21" t="s">
        <v>80</v>
      </c>
      <c r="N276" s="32">
        <v>1739088.85</v>
      </c>
      <c r="O276" s="21" t="s">
        <v>150</v>
      </c>
      <c r="P276" s="21" t="str">
        <f t="shared" si="24"/>
        <v>2025-02</v>
      </c>
      <c r="Q276" s="21">
        <f t="shared" si="25"/>
        <v>2025</v>
      </c>
      <c r="R276" s="34">
        <f t="shared" si="26"/>
        <v>45689</v>
      </c>
      <c r="S276" s="21">
        <f t="shared" si="27"/>
        <v>0</v>
      </c>
      <c r="T276" s="21" t="str">
        <f t="shared" si="28"/>
        <v>Card-Based</v>
      </c>
      <c r="U276" s="21" t="str">
        <f t="shared" si="29"/>
        <v>One-Time</v>
      </c>
    </row>
    <row r="277" spans="1:21" x14ac:dyDescent="0.3">
      <c r="A277" s="21" t="s">
        <v>998</v>
      </c>
      <c r="B277" s="21">
        <v>792044</v>
      </c>
      <c r="C277" s="21" t="s">
        <v>999</v>
      </c>
      <c r="D277" s="21" t="s">
        <v>1000</v>
      </c>
      <c r="E277" s="21" t="s">
        <v>62</v>
      </c>
      <c r="F277" s="21" t="s">
        <v>310</v>
      </c>
      <c r="G277" s="21" t="s">
        <v>110</v>
      </c>
      <c r="H277" s="21" t="s">
        <v>89</v>
      </c>
      <c r="I277" s="21" t="s">
        <v>76</v>
      </c>
      <c r="J277" s="32">
        <v>272401.31</v>
      </c>
      <c r="K277" s="21" t="s">
        <v>68</v>
      </c>
      <c r="L277" s="33">
        <v>45734</v>
      </c>
      <c r="M277" s="21" t="s">
        <v>80</v>
      </c>
      <c r="N277" s="32">
        <v>1061842.3999999999</v>
      </c>
      <c r="O277" s="21" t="s">
        <v>150</v>
      </c>
      <c r="P277" s="21" t="str">
        <f t="shared" si="24"/>
        <v>2025-03</v>
      </c>
      <c r="Q277" s="21">
        <f t="shared" si="25"/>
        <v>2025</v>
      </c>
      <c r="R277" s="34">
        <f t="shared" si="26"/>
        <v>45717</v>
      </c>
      <c r="S277" s="21">
        <f t="shared" si="27"/>
        <v>0</v>
      </c>
      <c r="T277" s="21" t="str">
        <f t="shared" si="28"/>
        <v>Digital</v>
      </c>
      <c r="U277" s="21" t="str">
        <f t="shared" si="29"/>
        <v>One-Time</v>
      </c>
    </row>
    <row r="278" spans="1:21" x14ac:dyDescent="0.3">
      <c r="A278" s="21" t="s">
        <v>1001</v>
      </c>
      <c r="B278" s="21">
        <v>854536</v>
      </c>
      <c r="C278" s="21" t="s">
        <v>1002</v>
      </c>
      <c r="D278" s="21" t="s">
        <v>1003</v>
      </c>
      <c r="E278" s="21" t="s">
        <v>63</v>
      </c>
      <c r="F278" s="21" t="s">
        <v>227</v>
      </c>
      <c r="G278" s="21" t="s">
        <v>118</v>
      </c>
      <c r="H278" s="21" t="s">
        <v>87</v>
      </c>
      <c r="I278" s="21" t="s">
        <v>78</v>
      </c>
      <c r="J278" s="32">
        <v>584071.86</v>
      </c>
      <c r="K278" s="21" t="s">
        <v>68</v>
      </c>
      <c r="L278" s="33">
        <v>45275</v>
      </c>
      <c r="M278" s="21" t="s">
        <v>80</v>
      </c>
      <c r="N278" s="32">
        <v>981560.65</v>
      </c>
      <c r="O278" s="21" t="s">
        <v>150</v>
      </c>
      <c r="P278" s="21" t="str">
        <f t="shared" si="24"/>
        <v>2023-12</v>
      </c>
      <c r="Q278" s="21">
        <f t="shared" si="25"/>
        <v>2023</v>
      </c>
      <c r="R278" s="34">
        <f t="shared" si="26"/>
        <v>45261</v>
      </c>
      <c r="S278" s="21">
        <f t="shared" si="27"/>
        <v>0</v>
      </c>
      <c r="T278" s="21" t="str">
        <f t="shared" si="28"/>
        <v>Digital</v>
      </c>
      <c r="U278" s="21" t="str">
        <f t="shared" si="29"/>
        <v>One-Time</v>
      </c>
    </row>
    <row r="279" spans="1:21" x14ac:dyDescent="0.3">
      <c r="A279" s="21" t="s">
        <v>1004</v>
      </c>
      <c r="B279" s="21">
        <v>247151</v>
      </c>
      <c r="C279" s="21" t="s">
        <v>1005</v>
      </c>
      <c r="D279" s="21" t="s">
        <v>1006</v>
      </c>
      <c r="E279" s="21" t="s">
        <v>61</v>
      </c>
      <c r="F279" s="21" t="s">
        <v>154</v>
      </c>
      <c r="G279" s="21" t="s">
        <v>122</v>
      </c>
      <c r="H279" s="21" t="s">
        <v>86</v>
      </c>
      <c r="I279" s="21" t="s">
        <v>78</v>
      </c>
      <c r="J279" s="32">
        <v>314411.17</v>
      </c>
      <c r="K279" s="21" t="s">
        <v>71</v>
      </c>
      <c r="L279" s="33">
        <v>45336</v>
      </c>
      <c r="M279" s="21" t="s">
        <v>80</v>
      </c>
      <c r="N279" s="32">
        <v>1156721.3700000001</v>
      </c>
      <c r="O279" s="21" t="s">
        <v>150</v>
      </c>
      <c r="P279" s="21" t="str">
        <f t="shared" si="24"/>
        <v>2024-02</v>
      </c>
      <c r="Q279" s="21">
        <f t="shared" si="25"/>
        <v>2024</v>
      </c>
      <c r="R279" s="34">
        <f t="shared" si="26"/>
        <v>45323</v>
      </c>
      <c r="S279" s="21">
        <f t="shared" si="27"/>
        <v>0</v>
      </c>
      <c r="T279" s="21" t="str">
        <f t="shared" si="28"/>
        <v>Digital</v>
      </c>
      <c r="U279" s="21" t="str">
        <f t="shared" si="29"/>
        <v>One-Time</v>
      </c>
    </row>
    <row r="280" spans="1:21" x14ac:dyDescent="0.3">
      <c r="A280" s="21" t="s">
        <v>1007</v>
      </c>
      <c r="B280" s="21">
        <v>116982</v>
      </c>
      <c r="C280" s="21" t="s">
        <v>1008</v>
      </c>
      <c r="D280" s="21" t="s">
        <v>1009</v>
      </c>
      <c r="E280" s="21" t="s">
        <v>60</v>
      </c>
      <c r="F280" s="21" t="s">
        <v>149</v>
      </c>
      <c r="G280" s="21" t="s">
        <v>119</v>
      </c>
      <c r="H280" s="21" t="s">
        <v>89</v>
      </c>
      <c r="I280" s="21" t="s">
        <v>75</v>
      </c>
      <c r="J280" s="32">
        <v>11969.71</v>
      </c>
      <c r="K280" s="21" t="s">
        <v>68</v>
      </c>
      <c r="L280" s="33">
        <v>45570</v>
      </c>
      <c r="M280" s="21" t="s">
        <v>80</v>
      </c>
      <c r="N280" s="32">
        <v>501200.97</v>
      </c>
      <c r="O280" s="21" t="s">
        <v>150</v>
      </c>
      <c r="P280" s="21" t="str">
        <f t="shared" si="24"/>
        <v>2024-10</v>
      </c>
      <c r="Q280" s="21">
        <f t="shared" si="25"/>
        <v>2024</v>
      </c>
      <c r="R280" s="34">
        <f t="shared" si="26"/>
        <v>45566</v>
      </c>
      <c r="S280" s="21">
        <f t="shared" si="27"/>
        <v>0</v>
      </c>
      <c r="T280" s="21" t="str">
        <f t="shared" si="28"/>
        <v>Digital</v>
      </c>
      <c r="U280" s="21" t="str">
        <f t="shared" si="29"/>
        <v>One-Time</v>
      </c>
    </row>
    <row r="281" spans="1:21" x14ac:dyDescent="0.3">
      <c r="A281" s="21" t="s">
        <v>1010</v>
      </c>
      <c r="B281" s="21">
        <v>588946</v>
      </c>
      <c r="C281" s="21" t="s">
        <v>1011</v>
      </c>
      <c r="D281" s="21" t="s">
        <v>1012</v>
      </c>
      <c r="E281" s="21" t="s">
        <v>62</v>
      </c>
      <c r="F281" s="21" t="s">
        <v>275</v>
      </c>
      <c r="G281" s="21" t="s">
        <v>109</v>
      </c>
      <c r="H281" s="21" t="s">
        <v>87</v>
      </c>
      <c r="I281" s="21" t="s">
        <v>77</v>
      </c>
      <c r="J281" s="32">
        <v>116669.04</v>
      </c>
      <c r="K281" s="21" t="s">
        <v>68</v>
      </c>
      <c r="L281" s="33">
        <v>45262</v>
      </c>
      <c r="M281" s="21" t="s">
        <v>80</v>
      </c>
      <c r="N281" s="32">
        <v>1108834.99</v>
      </c>
      <c r="O281" s="21" t="s">
        <v>150</v>
      </c>
      <c r="P281" s="21" t="str">
        <f t="shared" si="24"/>
        <v>2023-12</v>
      </c>
      <c r="Q281" s="21">
        <f t="shared" si="25"/>
        <v>2023</v>
      </c>
      <c r="R281" s="34">
        <f t="shared" si="26"/>
        <v>45261</v>
      </c>
      <c r="S281" s="21">
        <f t="shared" si="27"/>
        <v>0</v>
      </c>
      <c r="T281" s="21" t="str">
        <f t="shared" si="28"/>
        <v>Digital</v>
      </c>
      <c r="U281" s="21" t="str">
        <f t="shared" si="29"/>
        <v>One-Time</v>
      </c>
    </row>
    <row r="282" spans="1:21" x14ac:dyDescent="0.3">
      <c r="A282" s="21" t="s">
        <v>1013</v>
      </c>
      <c r="B282" s="21">
        <v>316547</v>
      </c>
      <c r="C282" s="21" t="s">
        <v>1014</v>
      </c>
      <c r="D282" s="21" t="s">
        <v>1015</v>
      </c>
      <c r="E282" s="21" t="s">
        <v>62</v>
      </c>
      <c r="F282" s="21" t="s">
        <v>275</v>
      </c>
      <c r="G282" s="21" t="s">
        <v>109</v>
      </c>
      <c r="H282" s="21" t="s">
        <v>86</v>
      </c>
      <c r="I282" s="21" t="s">
        <v>76</v>
      </c>
      <c r="J282" s="32">
        <v>443587.6</v>
      </c>
      <c r="K282" s="21" t="s">
        <v>68</v>
      </c>
      <c r="L282" s="33">
        <v>45352</v>
      </c>
      <c r="M282" s="21" t="s">
        <v>80</v>
      </c>
      <c r="N282" s="32">
        <v>1996546.47</v>
      </c>
      <c r="O282" s="21" t="s">
        <v>150</v>
      </c>
      <c r="P282" s="21" t="str">
        <f t="shared" si="24"/>
        <v>2024-03</v>
      </c>
      <c r="Q282" s="21">
        <f t="shared" si="25"/>
        <v>2024</v>
      </c>
      <c r="R282" s="34">
        <f t="shared" si="26"/>
        <v>45352</v>
      </c>
      <c r="S282" s="21">
        <f t="shared" si="27"/>
        <v>0</v>
      </c>
      <c r="T282" s="21" t="str">
        <f t="shared" si="28"/>
        <v>Digital</v>
      </c>
      <c r="U282" s="21" t="str">
        <f t="shared" si="29"/>
        <v>One-Time</v>
      </c>
    </row>
    <row r="283" spans="1:21" x14ac:dyDescent="0.3">
      <c r="A283" s="21" t="s">
        <v>1016</v>
      </c>
      <c r="B283" s="21">
        <v>492092</v>
      </c>
      <c r="C283" s="21" t="s">
        <v>1017</v>
      </c>
      <c r="D283" s="21" t="s">
        <v>1018</v>
      </c>
      <c r="E283" s="21" t="s">
        <v>61</v>
      </c>
      <c r="F283" s="21" t="s">
        <v>154</v>
      </c>
      <c r="G283" s="21" t="s">
        <v>122</v>
      </c>
      <c r="H283" s="21" t="s">
        <v>89</v>
      </c>
      <c r="I283" s="21" t="s">
        <v>75</v>
      </c>
      <c r="J283" s="32">
        <v>101848.93</v>
      </c>
      <c r="K283" s="21" t="s">
        <v>70</v>
      </c>
      <c r="L283" s="33">
        <v>45243</v>
      </c>
      <c r="M283" s="21" t="s">
        <v>80</v>
      </c>
      <c r="N283" s="32">
        <v>1018560.23</v>
      </c>
      <c r="O283" s="21" t="s">
        <v>150</v>
      </c>
      <c r="P283" s="21" t="str">
        <f t="shared" si="24"/>
        <v>2023-11</v>
      </c>
      <c r="Q283" s="21">
        <f t="shared" si="25"/>
        <v>2023</v>
      </c>
      <c r="R283" s="34">
        <f t="shared" si="26"/>
        <v>45231</v>
      </c>
      <c r="S283" s="21">
        <f t="shared" si="27"/>
        <v>0</v>
      </c>
      <c r="T283" s="21" t="str">
        <f t="shared" si="28"/>
        <v>Card-Based</v>
      </c>
      <c r="U283" s="21" t="str">
        <f t="shared" si="29"/>
        <v>One-Time</v>
      </c>
    </row>
    <row r="284" spans="1:21" x14ac:dyDescent="0.3">
      <c r="A284" s="21" t="s">
        <v>1019</v>
      </c>
      <c r="B284" s="21">
        <v>689047</v>
      </c>
      <c r="C284" s="21" t="s">
        <v>1020</v>
      </c>
      <c r="D284" s="21" t="s">
        <v>1021</v>
      </c>
      <c r="E284" s="21" t="s">
        <v>60</v>
      </c>
      <c r="F284" s="21" t="s">
        <v>286</v>
      </c>
      <c r="G284" s="21" t="s">
        <v>124</v>
      </c>
      <c r="H284" s="21" t="s">
        <v>87</v>
      </c>
      <c r="I284" s="21" t="s">
        <v>77</v>
      </c>
      <c r="J284" s="32">
        <v>10185.450000000001</v>
      </c>
      <c r="K284" s="21" t="s">
        <v>70</v>
      </c>
      <c r="L284" s="33">
        <v>45320</v>
      </c>
      <c r="M284" s="21" t="s">
        <v>80</v>
      </c>
      <c r="N284" s="32">
        <v>659150.17000000004</v>
      </c>
      <c r="O284" s="21" t="s">
        <v>150</v>
      </c>
      <c r="P284" s="21" t="str">
        <f t="shared" si="24"/>
        <v>2024-01</v>
      </c>
      <c r="Q284" s="21">
        <f t="shared" si="25"/>
        <v>2024</v>
      </c>
      <c r="R284" s="34">
        <f t="shared" si="26"/>
        <v>45292</v>
      </c>
      <c r="S284" s="21">
        <f t="shared" si="27"/>
        <v>0</v>
      </c>
      <c r="T284" s="21" t="str">
        <f t="shared" si="28"/>
        <v>Card-Based</v>
      </c>
      <c r="U284" s="21" t="str">
        <f t="shared" si="29"/>
        <v>One-Time</v>
      </c>
    </row>
    <row r="285" spans="1:21" x14ac:dyDescent="0.3">
      <c r="A285" s="21" t="s">
        <v>1022</v>
      </c>
      <c r="B285" s="21">
        <v>362079</v>
      </c>
      <c r="C285" s="21" t="s">
        <v>1023</v>
      </c>
      <c r="D285" s="21" t="s">
        <v>1024</v>
      </c>
      <c r="E285" s="21" t="s">
        <v>62</v>
      </c>
      <c r="F285" s="21" t="s">
        <v>297</v>
      </c>
      <c r="G285" s="21" t="s">
        <v>111</v>
      </c>
      <c r="H285" s="21" t="s">
        <v>89</v>
      </c>
      <c r="I285" s="21" t="s">
        <v>77</v>
      </c>
      <c r="J285" s="32">
        <v>1553.42</v>
      </c>
      <c r="K285" s="21" t="s">
        <v>68</v>
      </c>
      <c r="L285" s="33">
        <v>45621</v>
      </c>
      <c r="M285" s="21" t="s">
        <v>80</v>
      </c>
      <c r="N285" s="32">
        <v>1995705.93</v>
      </c>
      <c r="O285" s="21" t="s">
        <v>150</v>
      </c>
      <c r="P285" s="21" t="str">
        <f t="shared" si="24"/>
        <v>2024-11</v>
      </c>
      <c r="Q285" s="21">
        <f t="shared" si="25"/>
        <v>2024</v>
      </c>
      <c r="R285" s="34">
        <f t="shared" si="26"/>
        <v>45597</v>
      </c>
      <c r="S285" s="21">
        <f t="shared" si="27"/>
        <v>0</v>
      </c>
      <c r="T285" s="21" t="str">
        <f t="shared" si="28"/>
        <v>Digital</v>
      </c>
      <c r="U285" s="21" t="str">
        <f t="shared" si="29"/>
        <v>One-Time</v>
      </c>
    </row>
    <row r="286" spans="1:21" x14ac:dyDescent="0.3">
      <c r="A286" s="21" t="s">
        <v>1025</v>
      </c>
      <c r="B286" s="21">
        <v>856677</v>
      </c>
      <c r="C286" s="21" t="s">
        <v>1026</v>
      </c>
      <c r="D286" s="21" t="s">
        <v>1027</v>
      </c>
      <c r="E286" s="21" t="s">
        <v>61</v>
      </c>
      <c r="F286" s="21" t="s">
        <v>364</v>
      </c>
      <c r="G286" s="21" t="s">
        <v>130</v>
      </c>
      <c r="H286" s="21" t="s">
        <v>89</v>
      </c>
      <c r="I286" s="21" t="s">
        <v>77</v>
      </c>
      <c r="J286" s="32">
        <v>60785.43</v>
      </c>
      <c r="K286" s="21" t="s">
        <v>69</v>
      </c>
      <c r="L286" s="33">
        <v>45189</v>
      </c>
      <c r="M286" s="21" t="s">
        <v>80</v>
      </c>
      <c r="N286" s="32">
        <v>1643531.92</v>
      </c>
      <c r="O286" s="21" t="s">
        <v>150</v>
      </c>
      <c r="P286" s="21" t="str">
        <f t="shared" si="24"/>
        <v>2023-09</v>
      </c>
      <c r="Q286" s="21">
        <f t="shared" si="25"/>
        <v>2023</v>
      </c>
      <c r="R286" s="34">
        <f t="shared" si="26"/>
        <v>45170</v>
      </c>
      <c r="S286" s="21">
        <f t="shared" si="27"/>
        <v>0</v>
      </c>
      <c r="T286" s="21" t="str">
        <f t="shared" si="28"/>
        <v>Card-Based</v>
      </c>
      <c r="U286" s="21" t="str">
        <f t="shared" si="29"/>
        <v>One-Time</v>
      </c>
    </row>
    <row r="287" spans="1:21" x14ac:dyDescent="0.3">
      <c r="A287" s="21" t="s">
        <v>1028</v>
      </c>
      <c r="B287" s="21">
        <v>740300</v>
      </c>
      <c r="C287" s="21" t="s">
        <v>1029</v>
      </c>
      <c r="D287" s="21" t="s">
        <v>1030</v>
      </c>
      <c r="E287" s="21" t="s">
        <v>60</v>
      </c>
      <c r="F287" s="21" t="s">
        <v>149</v>
      </c>
      <c r="G287" s="21" t="s">
        <v>119</v>
      </c>
      <c r="H287" s="21" t="s">
        <v>86</v>
      </c>
      <c r="I287" s="21" t="s">
        <v>76</v>
      </c>
      <c r="J287" s="32">
        <v>26356.89</v>
      </c>
      <c r="K287" s="21" t="s">
        <v>69</v>
      </c>
      <c r="L287" s="33">
        <v>45420</v>
      </c>
      <c r="M287" s="21" t="s">
        <v>80</v>
      </c>
      <c r="N287" s="32">
        <v>2014129.86</v>
      </c>
      <c r="O287" s="21" t="s">
        <v>150</v>
      </c>
      <c r="P287" s="21" t="str">
        <f t="shared" si="24"/>
        <v>2024-05</v>
      </c>
      <c r="Q287" s="21">
        <f t="shared" si="25"/>
        <v>2024</v>
      </c>
      <c r="R287" s="34">
        <f t="shared" si="26"/>
        <v>45413</v>
      </c>
      <c r="S287" s="21">
        <f t="shared" si="27"/>
        <v>0</v>
      </c>
      <c r="T287" s="21" t="str">
        <f t="shared" si="28"/>
        <v>Card-Based</v>
      </c>
      <c r="U287" s="21" t="str">
        <f t="shared" si="29"/>
        <v>One-Time</v>
      </c>
    </row>
    <row r="288" spans="1:21" x14ac:dyDescent="0.3">
      <c r="A288" s="21" t="s">
        <v>1031</v>
      </c>
      <c r="B288" s="21">
        <v>879380</v>
      </c>
      <c r="C288" s="21" t="s">
        <v>1032</v>
      </c>
      <c r="D288" s="21" t="s">
        <v>1033</v>
      </c>
      <c r="E288" s="21" t="s">
        <v>64</v>
      </c>
      <c r="F288" s="21" t="s">
        <v>262</v>
      </c>
      <c r="G288" s="21" t="s">
        <v>131</v>
      </c>
      <c r="H288" s="21" t="s">
        <v>88</v>
      </c>
      <c r="I288" s="21" t="s">
        <v>76</v>
      </c>
      <c r="J288" s="32">
        <v>426792.12</v>
      </c>
      <c r="K288" s="21" t="s">
        <v>68</v>
      </c>
      <c r="L288" s="33">
        <v>45279</v>
      </c>
      <c r="M288" s="21" t="s">
        <v>80</v>
      </c>
      <c r="N288" s="32">
        <v>1603328.83</v>
      </c>
      <c r="O288" s="21" t="s">
        <v>150</v>
      </c>
      <c r="P288" s="21" t="str">
        <f t="shared" si="24"/>
        <v>2023-12</v>
      </c>
      <c r="Q288" s="21">
        <f t="shared" si="25"/>
        <v>2023</v>
      </c>
      <c r="R288" s="34">
        <f t="shared" si="26"/>
        <v>45261</v>
      </c>
      <c r="S288" s="21">
        <f t="shared" si="27"/>
        <v>0</v>
      </c>
      <c r="T288" s="21" t="str">
        <f t="shared" si="28"/>
        <v>Digital</v>
      </c>
      <c r="U288" s="21" t="str">
        <f t="shared" si="29"/>
        <v>One-Time</v>
      </c>
    </row>
    <row r="289" spans="1:21" x14ac:dyDescent="0.3">
      <c r="A289" s="21" t="s">
        <v>1034</v>
      </c>
      <c r="B289" s="21">
        <v>801581</v>
      </c>
      <c r="C289" s="21" t="s">
        <v>1035</v>
      </c>
      <c r="D289" s="21" t="s">
        <v>1036</v>
      </c>
      <c r="E289" s="21" t="s">
        <v>60</v>
      </c>
      <c r="F289" s="21" t="s">
        <v>286</v>
      </c>
      <c r="G289" s="21" t="s">
        <v>124</v>
      </c>
      <c r="H289" s="21" t="s">
        <v>86</v>
      </c>
      <c r="I289" s="21" t="s">
        <v>76</v>
      </c>
      <c r="J289" s="32">
        <v>491742.99</v>
      </c>
      <c r="K289" s="21" t="s">
        <v>68</v>
      </c>
      <c r="L289" s="33">
        <v>45255</v>
      </c>
      <c r="M289" s="21" t="s">
        <v>80</v>
      </c>
      <c r="N289" s="32">
        <v>1035990.72</v>
      </c>
      <c r="O289" s="21" t="s">
        <v>150</v>
      </c>
      <c r="P289" s="21" t="str">
        <f t="shared" si="24"/>
        <v>2023-11</v>
      </c>
      <c r="Q289" s="21">
        <f t="shared" si="25"/>
        <v>2023</v>
      </c>
      <c r="R289" s="34">
        <f t="shared" si="26"/>
        <v>45231</v>
      </c>
      <c r="S289" s="21">
        <f t="shared" si="27"/>
        <v>0</v>
      </c>
      <c r="T289" s="21" t="str">
        <f t="shared" si="28"/>
        <v>Digital</v>
      </c>
      <c r="U289" s="21" t="str">
        <f t="shared" si="29"/>
        <v>One-Time</v>
      </c>
    </row>
    <row r="290" spans="1:21" x14ac:dyDescent="0.3">
      <c r="A290" s="21" t="s">
        <v>1037</v>
      </c>
      <c r="B290" s="21">
        <v>961459</v>
      </c>
      <c r="C290" s="21" t="s">
        <v>1038</v>
      </c>
      <c r="D290" s="21" t="s">
        <v>1039</v>
      </c>
      <c r="E290" s="21" t="s">
        <v>62</v>
      </c>
      <c r="F290" s="21" t="s">
        <v>199</v>
      </c>
      <c r="G290" s="21" t="s">
        <v>120</v>
      </c>
      <c r="H290" s="21" t="s">
        <v>86</v>
      </c>
      <c r="I290" s="21" t="s">
        <v>76</v>
      </c>
      <c r="J290" s="32">
        <v>189663.01</v>
      </c>
      <c r="K290" s="21" t="s">
        <v>69</v>
      </c>
      <c r="L290" s="33">
        <v>45251</v>
      </c>
      <c r="M290" s="21" t="s">
        <v>80</v>
      </c>
      <c r="N290" s="32">
        <v>1340680.25</v>
      </c>
      <c r="O290" s="21" t="s">
        <v>150</v>
      </c>
      <c r="P290" s="21" t="str">
        <f t="shared" si="24"/>
        <v>2023-11</v>
      </c>
      <c r="Q290" s="21">
        <f t="shared" si="25"/>
        <v>2023</v>
      </c>
      <c r="R290" s="34">
        <f t="shared" si="26"/>
        <v>45231</v>
      </c>
      <c r="S290" s="21">
        <f t="shared" si="27"/>
        <v>0</v>
      </c>
      <c r="T290" s="21" t="str">
        <f t="shared" si="28"/>
        <v>Card-Based</v>
      </c>
      <c r="U290" s="21" t="str">
        <f t="shared" si="29"/>
        <v>One-Time</v>
      </c>
    </row>
    <row r="291" spans="1:21" x14ac:dyDescent="0.3">
      <c r="A291" s="21" t="s">
        <v>1040</v>
      </c>
      <c r="B291" s="21">
        <v>942595</v>
      </c>
      <c r="C291" s="21" t="s">
        <v>1041</v>
      </c>
      <c r="D291" s="21" t="s">
        <v>1042</v>
      </c>
      <c r="E291" s="21" t="s">
        <v>64</v>
      </c>
      <c r="F291" s="21" t="s">
        <v>188</v>
      </c>
      <c r="G291" s="21" t="s">
        <v>112</v>
      </c>
      <c r="H291" s="21" t="s">
        <v>89</v>
      </c>
      <c r="I291" s="21" t="s">
        <v>75</v>
      </c>
      <c r="J291" s="32">
        <v>236628.52</v>
      </c>
      <c r="K291" s="21" t="s">
        <v>69</v>
      </c>
      <c r="L291" s="33">
        <v>45541</v>
      </c>
      <c r="M291" s="21" t="s">
        <v>80</v>
      </c>
      <c r="N291" s="32">
        <v>1761005.02</v>
      </c>
      <c r="O291" s="21" t="s">
        <v>150</v>
      </c>
      <c r="P291" s="21" t="str">
        <f t="shared" si="24"/>
        <v>2024-09</v>
      </c>
      <c r="Q291" s="21">
        <f t="shared" si="25"/>
        <v>2024</v>
      </c>
      <c r="R291" s="34">
        <f t="shared" si="26"/>
        <v>45536</v>
      </c>
      <c r="S291" s="21">
        <f t="shared" si="27"/>
        <v>0</v>
      </c>
      <c r="T291" s="21" t="str">
        <f t="shared" si="28"/>
        <v>Card-Based</v>
      </c>
      <c r="U291" s="21" t="str">
        <f t="shared" si="29"/>
        <v>One-Time</v>
      </c>
    </row>
    <row r="292" spans="1:21" x14ac:dyDescent="0.3">
      <c r="A292" s="21" t="s">
        <v>1043</v>
      </c>
      <c r="B292" s="21">
        <v>775026</v>
      </c>
      <c r="C292" s="21" t="s">
        <v>1044</v>
      </c>
      <c r="D292" s="21" t="s">
        <v>1045</v>
      </c>
      <c r="E292" s="21" t="s">
        <v>63</v>
      </c>
      <c r="F292" s="21" t="s">
        <v>255</v>
      </c>
      <c r="G292" s="21" t="s">
        <v>115</v>
      </c>
      <c r="H292" s="21" t="s">
        <v>89</v>
      </c>
      <c r="I292" s="21" t="s">
        <v>78</v>
      </c>
      <c r="J292" s="32">
        <v>210645.38</v>
      </c>
      <c r="K292" s="21" t="s">
        <v>71</v>
      </c>
      <c r="L292" s="33">
        <v>45514</v>
      </c>
      <c r="M292" s="21" t="s">
        <v>80</v>
      </c>
      <c r="N292" s="32">
        <v>1621110.9</v>
      </c>
      <c r="O292" s="21" t="s">
        <v>150</v>
      </c>
      <c r="P292" s="21" t="str">
        <f t="shared" si="24"/>
        <v>2024-08</v>
      </c>
      <c r="Q292" s="21">
        <f t="shared" si="25"/>
        <v>2024</v>
      </c>
      <c r="R292" s="34">
        <f t="shared" si="26"/>
        <v>45505</v>
      </c>
      <c r="S292" s="21">
        <f t="shared" si="27"/>
        <v>0</v>
      </c>
      <c r="T292" s="21" t="str">
        <f t="shared" si="28"/>
        <v>Digital</v>
      </c>
      <c r="U292" s="21" t="str">
        <f t="shared" si="29"/>
        <v>One-Time</v>
      </c>
    </row>
    <row r="293" spans="1:21" x14ac:dyDescent="0.3">
      <c r="A293" s="21" t="s">
        <v>1046</v>
      </c>
      <c r="B293" s="21">
        <v>433250</v>
      </c>
      <c r="C293" s="21" t="s">
        <v>1047</v>
      </c>
      <c r="D293" s="21" t="s">
        <v>1048</v>
      </c>
      <c r="E293" s="21" t="s">
        <v>60</v>
      </c>
      <c r="F293" s="21" t="s">
        <v>286</v>
      </c>
      <c r="G293" s="21" t="s">
        <v>124</v>
      </c>
      <c r="H293" s="21" t="s">
        <v>89</v>
      </c>
      <c r="I293" s="21" t="s">
        <v>78</v>
      </c>
      <c r="J293" s="32">
        <v>290735.08</v>
      </c>
      <c r="K293" s="21" t="s">
        <v>72</v>
      </c>
      <c r="L293" s="33">
        <v>45344</v>
      </c>
      <c r="M293" s="21" t="s">
        <v>80</v>
      </c>
      <c r="N293" s="32">
        <v>2174884.65</v>
      </c>
      <c r="O293" s="21" t="s">
        <v>150</v>
      </c>
      <c r="P293" s="21" t="str">
        <f t="shared" si="24"/>
        <v>2024-02</v>
      </c>
      <c r="Q293" s="21">
        <f t="shared" si="25"/>
        <v>2024</v>
      </c>
      <c r="R293" s="34">
        <f t="shared" si="26"/>
        <v>45323</v>
      </c>
      <c r="S293" s="21">
        <f t="shared" si="27"/>
        <v>0</v>
      </c>
      <c r="T293" s="21" t="str">
        <f t="shared" si="28"/>
        <v>Cash-Based</v>
      </c>
      <c r="U293" s="21" t="str">
        <f t="shared" si="29"/>
        <v>One-Time</v>
      </c>
    </row>
    <row r="294" spans="1:21" x14ac:dyDescent="0.3">
      <c r="A294" s="21" t="s">
        <v>1049</v>
      </c>
      <c r="B294" s="21">
        <v>363910</v>
      </c>
      <c r="C294" s="21" t="s">
        <v>1050</v>
      </c>
      <c r="D294" s="21" t="s">
        <v>1051</v>
      </c>
      <c r="E294" s="21" t="s">
        <v>62</v>
      </c>
      <c r="F294" s="21" t="s">
        <v>181</v>
      </c>
      <c r="G294" s="21" t="s">
        <v>123</v>
      </c>
      <c r="H294" s="21" t="s">
        <v>86</v>
      </c>
      <c r="I294" s="21" t="s">
        <v>76</v>
      </c>
      <c r="J294" s="32">
        <v>56566.32</v>
      </c>
      <c r="K294" s="21" t="s">
        <v>72</v>
      </c>
      <c r="L294" s="33">
        <v>45340</v>
      </c>
      <c r="M294" s="21" t="s">
        <v>80</v>
      </c>
      <c r="N294" s="32">
        <v>1359620.56</v>
      </c>
      <c r="O294" s="21" t="s">
        <v>150</v>
      </c>
      <c r="P294" s="21" t="str">
        <f t="shared" si="24"/>
        <v>2024-02</v>
      </c>
      <c r="Q294" s="21">
        <f t="shared" si="25"/>
        <v>2024</v>
      </c>
      <c r="R294" s="34">
        <f t="shared" si="26"/>
        <v>45323</v>
      </c>
      <c r="S294" s="21">
        <f t="shared" si="27"/>
        <v>0</v>
      </c>
      <c r="T294" s="21" t="str">
        <f t="shared" si="28"/>
        <v>Cash-Based</v>
      </c>
      <c r="U294" s="21" t="str">
        <f t="shared" si="29"/>
        <v>One-Time</v>
      </c>
    </row>
    <row r="295" spans="1:21" x14ac:dyDescent="0.3">
      <c r="A295" s="21" t="s">
        <v>1052</v>
      </c>
      <c r="B295" s="21">
        <v>665314</v>
      </c>
      <c r="C295" s="21" t="s">
        <v>1053</v>
      </c>
      <c r="D295" s="21" t="s">
        <v>1054</v>
      </c>
      <c r="E295" s="21" t="s">
        <v>62</v>
      </c>
      <c r="F295" s="21" t="s">
        <v>181</v>
      </c>
      <c r="G295" s="21" t="s">
        <v>123</v>
      </c>
      <c r="H295" s="21" t="s">
        <v>86</v>
      </c>
      <c r="I295" s="21" t="s">
        <v>77</v>
      </c>
      <c r="J295" s="32">
        <v>128481.44</v>
      </c>
      <c r="K295" s="21" t="s">
        <v>68</v>
      </c>
      <c r="L295" s="33">
        <v>45210</v>
      </c>
      <c r="M295" s="21" t="s">
        <v>80</v>
      </c>
      <c r="N295" s="32">
        <v>1180805.3799999999</v>
      </c>
      <c r="O295" s="21" t="s">
        <v>150</v>
      </c>
      <c r="P295" s="21" t="str">
        <f t="shared" si="24"/>
        <v>2023-10</v>
      </c>
      <c r="Q295" s="21">
        <f t="shared" si="25"/>
        <v>2023</v>
      </c>
      <c r="R295" s="34">
        <f t="shared" si="26"/>
        <v>45200</v>
      </c>
      <c r="S295" s="21">
        <f t="shared" si="27"/>
        <v>0</v>
      </c>
      <c r="T295" s="21" t="str">
        <f t="shared" si="28"/>
        <v>Digital</v>
      </c>
      <c r="U295" s="21" t="str">
        <f t="shared" si="29"/>
        <v>One-Time</v>
      </c>
    </row>
    <row r="296" spans="1:21" x14ac:dyDescent="0.3">
      <c r="A296" s="21" t="s">
        <v>1055</v>
      </c>
      <c r="B296" s="21">
        <v>560593</v>
      </c>
      <c r="C296" s="21" t="s">
        <v>1056</v>
      </c>
      <c r="D296" s="21" t="s">
        <v>1057</v>
      </c>
      <c r="E296" s="21" t="s">
        <v>60</v>
      </c>
      <c r="F296" s="21" t="s">
        <v>173</v>
      </c>
      <c r="G296" s="21" t="s">
        <v>117</v>
      </c>
      <c r="H296" s="21" t="s">
        <v>87</v>
      </c>
      <c r="I296" s="21" t="s">
        <v>76</v>
      </c>
      <c r="J296" s="32">
        <v>342352.78</v>
      </c>
      <c r="K296" s="21" t="s">
        <v>69</v>
      </c>
      <c r="L296" s="33">
        <v>45388</v>
      </c>
      <c r="M296" s="21" t="s">
        <v>80</v>
      </c>
      <c r="N296" s="32">
        <v>1571656.18</v>
      </c>
      <c r="O296" s="21" t="s">
        <v>150</v>
      </c>
      <c r="P296" s="21" t="str">
        <f t="shared" si="24"/>
        <v>2024-04</v>
      </c>
      <c r="Q296" s="21">
        <f t="shared" si="25"/>
        <v>2024</v>
      </c>
      <c r="R296" s="34">
        <f t="shared" si="26"/>
        <v>45383</v>
      </c>
      <c r="S296" s="21">
        <f t="shared" si="27"/>
        <v>0</v>
      </c>
      <c r="T296" s="21" t="str">
        <f t="shared" si="28"/>
        <v>Card-Based</v>
      </c>
      <c r="U296" s="21" t="str">
        <f t="shared" si="29"/>
        <v>One-Time</v>
      </c>
    </row>
    <row r="297" spans="1:21" x14ac:dyDescent="0.3">
      <c r="A297" s="21" t="s">
        <v>1058</v>
      </c>
      <c r="B297" s="21">
        <v>818431</v>
      </c>
      <c r="C297" s="21" t="s">
        <v>1059</v>
      </c>
      <c r="D297" s="21" t="s">
        <v>1060</v>
      </c>
      <c r="E297" s="21" t="s">
        <v>60</v>
      </c>
      <c r="F297" s="21" t="s">
        <v>166</v>
      </c>
      <c r="G297" s="21" t="s">
        <v>107</v>
      </c>
      <c r="H297" s="21" t="s">
        <v>86</v>
      </c>
      <c r="I297" s="21" t="s">
        <v>77</v>
      </c>
      <c r="J297" s="32">
        <v>85345.93</v>
      </c>
      <c r="K297" s="21" t="s">
        <v>71</v>
      </c>
      <c r="L297" s="33">
        <v>45443</v>
      </c>
      <c r="M297" s="21" t="s">
        <v>80</v>
      </c>
      <c r="N297" s="32">
        <v>1748371.94</v>
      </c>
      <c r="O297" s="21" t="s">
        <v>311</v>
      </c>
      <c r="P297" s="21" t="str">
        <f t="shared" si="24"/>
        <v>2024-05</v>
      </c>
      <c r="Q297" s="21">
        <f t="shared" si="25"/>
        <v>2024</v>
      </c>
      <c r="R297" s="34">
        <f t="shared" si="26"/>
        <v>45413</v>
      </c>
      <c r="S297" s="21">
        <f t="shared" si="27"/>
        <v>1</v>
      </c>
      <c r="T297" s="21" t="str">
        <f t="shared" si="28"/>
        <v>Digital</v>
      </c>
      <c r="U297" s="21" t="str">
        <f t="shared" si="29"/>
        <v>One-Time</v>
      </c>
    </row>
    <row r="298" spans="1:21" x14ac:dyDescent="0.3">
      <c r="A298" s="21" t="s">
        <v>1061</v>
      </c>
      <c r="B298" s="21">
        <v>866770</v>
      </c>
      <c r="C298" s="21" t="s">
        <v>1062</v>
      </c>
      <c r="D298" s="21" t="s">
        <v>1063</v>
      </c>
      <c r="E298" s="21" t="s">
        <v>62</v>
      </c>
      <c r="F298" s="21" t="s">
        <v>275</v>
      </c>
      <c r="G298" s="21" t="s">
        <v>109</v>
      </c>
      <c r="H298" s="21" t="s">
        <v>89</v>
      </c>
      <c r="I298" s="21" t="s">
        <v>75</v>
      </c>
      <c r="J298" s="32">
        <v>79519.039999999994</v>
      </c>
      <c r="K298" s="21" t="s">
        <v>70</v>
      </c>
      <c r="L298" s="33">
        <v>45753</v>
      </c>
      <c r="M298" s="21" t="s">
        <v>80</v>
      </c>
      <c r="N298" s="32">
        <v>723530.21</v>
      </c>
      <c r="O298" s="21" t="s">
        <v>150</v>
      </c>
      <c r="P298" s="21" t="str">
        <f t="shared" si="24"/>
        <v>2025-04</v>
      </c>
      <c r="Q298" s="21">
        <f t="shared" si="25"/>
        <v>2025</v>
      </c>
      <c r="R298" s="34">
        <f t="shared" si="26"/>
        <v>45748</v>
      </c>
      <c r="S298" s="21">
        <f t="shared" si="27"/>
        <v>0</v>
      </c>
      <c r="T298" s="21" t="str">
        <f t="shared" si="28"/>
        <v>Card-Based</v>
      </c>
      <c r="U298" s="21" t="str">
        <f t="shared" si="29"/>
        <v>One-Time</v>
      </c>
    </row>
    <row r="299" spans="1:21" x14ac:dyDescent="0.3">
      <c r="A299" s="21" t="s">
        <v>1064</v>
      </c>
      <c r="B299" s="21">
        <v>372542</v>
      </c>
      <c r="C299" s="21" t="s">
        <v>1065</v>
      </c>
      <c r="D299" s="21" t="s">
        <v>1066</v>
      </c>
      <c r="E299" s="21" t="s">
        <v>61</v>
      </c>
      <c r="F299" s="21" t="s">
        <v>154</v>
      </c>
      <c r="G299" s="21" t="s">
        <v>122</v>
      </c>
      <c r="H299" s="21" t="s">
        <v>87</v>
      </c>
      <c r="I299" s="21" t="s">
        <v>78</v>
      </c>
      <c r="J299" s="32">
        <v>158595.54999999999</v>
      </c>
      <c r="K299" s="21" t="s">
        <v>70</v>
      </c>
      <c r="L299" s="33">
        <v>45479</v>
      </c>
      <c r="M299" s="21" t="s">
        <v>80</v>
      </c>
      <c r="N299" s="32">
        <v>1973122.34</v>
      </c>
      <c r="O299" s="21" t="s">
        <v>150</v>
      </c>
      <c r="P299" s="21" t="str">
        <f t="shared" si="24"/>
        <v>2024-07</v>
      </c>
      <c r="Q299" s="21">
        <f t="shared" si="25"/>
        <v>2024</v>
      </c>
      <c r="R299" s="34">
        <f t="shared" si="26"/>
        <v>45474</v>
      </c>
      <c r="S299" s="21">
        <f t="shared" si="27"/>
        <v>0</v>
      </c>
      <c r="T299" s="21" t="str">
        <f t="shared" si="28"/>
        <v>Card-Based</v>
      </c>
      <c r="U299" s="21" t="str">
        <f t="shared" si="29"/>
        <v>One-Time</v>
      </c>
    </row>
    <row r="300" spans="1:21" x14ac:dyDescent="0.3">
      <c r="A300" s="21" t="s">
        <v>1067</v>
      </c>
      <c r="B300" s="21">
        <v>953804</v>
      </c>
      <c r="C300" s="21" t="s">
        <v>1068</v>
      </c>
      <c r="D300" s="21" t="s">
        <v>1069</v>
      </c>
      <c r="E300" s="21" t="s">
        <v>61</v>
      </c>
      <c r="F300" s="21" t="s">
        <v>330</v>
      </c>
      <c r="G300" s="21" t="s">
        <v>121</v>
      </c>
      <c r="H300" s="21" t="s">
        <v>87</v>
      </c>
      <c r="I300" s="21" t="s">
        <v>76</v>
      </c>
      <c r="J300" s="32">
        <v>97285.9</v>
      </c>
      <c r="K300" s="21" t="s">
        <v>71</v>
      </c>
      <c r="L300" s="33">
        <v>45426</v>
      </c>
      <c r="M300" s="21" t="s">
        <v>80</v>
      </c>
      <c r="N300" s="32">
        <v>1096499.6100000001</v>
      </c>
      <c r="O300" s="21" t="s">
        <v>150</v>
      </c>
      <c r="P300" s="21" t="str">
        <f t="shared" si="24"/>
        <v>2024-05</v>
      </c>
      <c r="Q300" s="21">
        <f t="shared" si="25"/>
        <v>2024</v>
      </c>
      <c r="R300" s="34">
        <f t="shared" si="26"/>
        <v>45413</v>
      </c>
      <c r="S300" s="21">
        <f t="shared" si="27"/>
        <v>0</v>
      </c>
      <c r="T300" s="21" t="str">
        <f t="shared" si="28"/>
        <v>Digital</v>
      </c>
      <c r="U300" s="21" t="str">
        <f t="shared" si="29"/>
        <v>One-Time</v>
      </c>
    </row>
    <row r="301" spans="1:21" x14ac:dyDescent="0.3">
      <c r="A301" s="21" t="s">
        <v>1070</v>
      </c>
      <c r="B301" s="21">
        <v>916955</v>
      </c>
      <c r="C301" s="21" t="s">
        <v>1071</v>
      </c>
      <c r="D301" s="21" t="s">
        <v>1072</v>
      </c>
      <c r="E301" s="21" t="s">
        <v>62</v>
      </c>
      <c r="F301" s="21" t="s">
        <v>181</v>
      </c>
      <c r="G301" s="21" t="s">
        <v>123</v>
      </c>
      <c r="H301" s="21" t="s">
        <v>89</v>
      </c>
      <c r="I301" s="21" t="s">
        <v>76</v>
      </c>
      <c r="J301" s="32">
        <v>126634.62</v>
      </c>
      <c r="K301" s="21" t="s">
        <v>70</v>
      </c>
      <c r="L301" s="33">
        <v>45559</v>
      </c>
      <c r="M301" s="21" t="s">
        <v>80</v>
      </c>
      <c r="N301" s="32">
        <v>1183803.32</v>
      </c>
      <c r="O301" s="21" t="s">
        <v>150</v>
      </c>
      <c r="P301" s="21" t="str">
        <f t="shared" si="24"/>
        <v>2024-09</v>
      </c>
      <c r="Q301" s="21">
        <f t="shared" si="25"/>
        <v>2024</v>
      </c>
      <c r="R301" s="34">
        <f t="shared" si="26"/>
        <v>45536</v>
      </c>
      <c r="S301" s="21">
        <f t="shared" si="27"/>
        <v>0</v>
      </c>
      <c r="T301" s="21" t="str">
        <f t="shared" si="28"/>
        <v>Card-Based</v>
      </c>
      <c r="U301" s="21" t="str">
        <f t="shared" si="29"/>
        <v>One-Time</v>
      </c>
    </row>
    <row r="302" spans="1:21" x14ac:dyDescent="0.3">
      <c r="A302" s="21" t="s">
        <v>1073</v>
      </c>
      <c r="B302" s="21">
        <v>977193</v>
      </c>
      <c r="C302" s="21" t="s">
        <v>1074</v>
      </c>
      <c r="D302" s="21" t="s">
        <v>1075</v>
      </c>
      <c r="E302" s="21" t="s">
        <v>63</v>
      </c>
      <c r="F302" s="21" t="s">
        <v>223</v>
      </c>
      <c r="G302" s="21" t="s">
        <v>129</v>
      </c>
      <c r="H302" s="21" t="s">
        <v>88</v>
      </c>
      <c r="I302" s="21" t="s">
        <v>77</v>
      </c>
      <c r="J302" s="32">
        <v>21877.29</v>
      </c>
      <c r="K302" s="21" t="s">
        <v>72</v>
      </c>
      <c r="L302" s="33">
        <v>45777</v>
      </c>
      <c r="M302" s="21" t="s">
        <v>80</v>
      </c>
      <c r="N302" s="32">
        <v>1159209.6200000001</v>
      </c>
      <c r="O302" s="21" t="s">
        <v>150</v>
      </c>
      <c r="P302" s="21" t="str">
        <f t="shared" si="24"/>
        <v>2025-04</v>
      </c>
      <c r="Q302" s="21">
        <f t="shared" si="25"/>
        <v>2025</v>
      </c>
      <c r="R302" s="34">
        <f t="shared" si="26"/>
        <v>45748</v>
      </c>
      <c r="S302" s="21">
        <f t="shared" si="27"/>
        <v>0</v>
      </c>
      <c r="T302" s="21" t="str">
        <f t="shared" si="28"/>
        <v>Cash-Based</v>
      </c>
      <c r="U302" s="21" t="str">
        <f t="shared" si="29"/>
        <v>One-Time</v>
      </c>
    </row>
    <row r="303" spans="1:21" x14ac:dyDescent="0.3">
      <c r="A303" s="21" t="s">
        <v>1076</v>
      </c>
      <c r="B303" s="21">
        <v>432558</v>
      </c>
      <c r="C303" s="21" t="s">
        <v>1077</v>
      </c>
      <c r="D303" s="21" t="s">
        <v>1078</v>
      </c>
      <c r="E303" s="21" t="s">
        <v>63</v>
      </c>
      <c r="F303" s="21" t="s">
        <v>227</v>
      </c>
      <c r="G303" s="21" t="s">
        <v>118</v>
      </c>
      <c r="H303" s="21" t="s">
        <v>89</v>
      </c>
      <c r="I303" s="21" t="s">
        <v>78</v>
      </c>
      <c r="J303" s="32">
        <v>252929.01</v>
      </c>
      <c r="K303" s="21" t="s">
        <v>69</v>
      </c>
      <c r="L303" s="33">
        <v>45832</v>
      </c>
      <c r="M303" s="21" t="s">
        <v>80</v>
      </c>
      <c r="N303" s="32">
        <v>2184054.12</v>
      </c>
      <c r="O303" s="21" t="s">
        <v>150</v>
      </c>
      <c r="P303" s="21" t="str">
        <f t="shared" si="24"/>
        <v>2025-06</v>
      </c>
      <c r="Q303" s="21">
        <f t="shared" si="25"/>
        <v>2025</v>
      </c>
      <c r="R303" s="34">
        <f t="shared" si="26"/>
        <v>45809</v>
      </c>
      <c r="S303" s="21">
        <f t="shared" si="27"/>
        <v>0</v>
      </c>
      <c r="T303" s="21" t="str">
        <f t="shared" si="28"/>
        <v>Card-Based</v>
      </c>
      <c r="U303" s="21" t="str">
        <f t="shared" si="29"/>
        <v>One-Time</v>
      </c>
    </row>
    <row r="304" spans="1:21" x14ac:dyDescent="0.3">
      <c r="A304" s="21" t="s">
        <v>1079</v>
      </c>
      <c r="B304" s="21">
        <v>240903</v>
      </c>
      <c r="C304" s="21" t="s">
        <v>1080</v>
      </c>
      <c r="D304" s="21" t="s">
        <v>1081</v>
      </c>
      <c r="E304" s="21" t="s">
        <v>62</v>
      </c>
      <c r="F304" s="21" t="s">
        <v>275</v>
      </c>
      <c r="G304" s="21" t="s">
        <v>109</v>
      </c>
      <c r="H304" s="21" t="s">
        <v>87</v>
      </c>
      <c r="I304" s="21" t="s">
        <v>77</v>
      </c>
      <c r="J304" s="32">
        <v>25588.29</v>
      </c>
      <c r="K304" s="21" t="s">
        <v>68</v>
      </c>
      <c r="L304" s="33">
        <v>45556</v>
      </c>
      <c r="M304" s="21" t="s">
        <v>80</v>
      </c>
      <c r="N304" s="32">
        <v>1359400.18</v>
      </c>
      <c r="O304" s="21" t="s">
        <v>150</v>
      </c>
      <c r="P304" s="21" t="str">
        <f t="shared" si="24"/>
        <v>2024-09</v>
      </c>
      <c r="Q304" s="21">
        <f t="shared" si="25"/>
        <v>2024</v>
      </c>
      <c r="R304" s="34">
        <f t="shared" si="26"/>
        <v>45536</v>
      </c>
      <c r="S304" s="21">
        <f t="shared" si="27"/>
        <v>0</v>
      </c>
      <c r="T304" s="21" t="str">
        <f t="shared" si="28"/>
        <v>Digital</v>
      </c>
      <c r="U304" s="21" t="str">
        <f t="shared" si="29"/>
        <v>One-Time</v>
      </c>
    </row>
    <row r="305" spans="1:21" x14ac:dyDescent="0.3">
      <c r="A305" s="21" t="s">
        <v>1082</v>
      </c>
      <c r="B305" s="21">
        <v>155800</v>
      </c>
      <c r="C305" s="21" t="s">
        <v>1083</v>
      </c>
      <c r="D305" s="21" t="s">
        <v>1084</v>
      </c>
      <c r="E305" s="21" t="s">
        <v>61</v>
      </c>
      <c r="F305" s="21" t="s">
        <v>279</v>
      </c>
      <c r="G305" s="21" t="s">
        <v>125</v>
      </c>
      <c r="H305" s="21" t="s">
        <v>87</v>
      </c>
      <c r="I305" s="21" t="s">
        <v>76</v>
      </c>
      <c r="J305" s="32">
        <v>488550.1</v>
      </c>
      <c r="K305" s="21" t="s">
        <v>72</v>
      </c>
      <c r="L305" s="33">
        <v>45725</v>
      </c>
      <c r="M305" s="21" t="s">
        <v>80</v>
      </c>
      <c r="N305" s="32">
        <v>1782974.75</v>
      </c>
      <c r="O305" s="21" t="s">
        <v>150</v>
      </c>
      <c r="P305" s="21" t="str">
        <f t="shared" si="24"/>
        <v>2025-03</v>
      </c>
      <c r="Q305" s="21">
        <f t="shared" si="25"/>
        <v>2025</v>
      </c>
      <c r="R305" s="34">
        <f t="shared" si="26"/>
        <v>45717</v>
      </c>
      <c r="S305" s="21">
        <f t="shared" si="27"/>
        <v>0</v>
      </c>
      <c r="T305" s="21" t="str">
        <f t="shared" si="28"/>
        <v>Cash-Based</v>
      </c>
      <c r="U305" s="21" t="str">
        <f t="shared" si="29"/>
        <v>One-Time</v>
      </c>
    </row>
    <row r="306" spans="1:21" x14ac:dyDescent="0.3">
      <c r="A306" s="21" t="s">
        <v>1085</v>
      </c>
      <c r="B306" s="21">
        <v>288231</v>
      </c>
      <c r="C306" s="21" t="s">
        <v>1086</v>
      </c>
      <c r="D306" s="21" t="s">
        <v>1087</v>
      </c>
      <c r="E306" s="21" t="s">
        <v>61</v>
      </c>
      <c r="F306" s="21" t="s">
        <v>330</v>
      </c>
      <c r="G306" s="21" t="s">
        <v>121</v>
      </c>
      <c r="H306" s="21" t="s">
        <v>89</v>
      </c>
      <c r="I306" s="21" t="s">
        <v>78</v>
      </c>
      <c r="J306" s="32">
        <v>95620.89</v>
      </c>
      <c r="K306" s="21" t="s">
        <v>70</v>
      </c>
      <c r="L306" s="33">
        <v>45770</v>
      </c>
      <c r="M306" s="21" t="s">
        <v>80</v>
      </c>
      <c r="N306" s="32">
        <v>1185408.31</v>
      </c>
      <c r="O306" s="21" t="s">
        <v>150</v>
      </c>
      <c r="P306" s="21" t="str">
        <f t="shared" si="24"/>
        <v>2025-04</v>
      </c>
      <c r="Q306" s="21">
        <f t="shared" si="25"/>
        <v>2025</v>
      </c>
      <c r="R306" s="34">
        <f t="shared" si="26"/>
        <v>45748</v>
      </c>
      <c r="S306" s="21">
        <f t="shared" si="27"/>
        <v>0</v>
      </c>
      <c r="T306" s="21" t="str">
        <f t="shared" si="28"/>
        <v>Card-Based</v>
      </c>
      <c r="U306" s="21" t="str">
        <f t="shared" si="29"/>
        <v>One-Time</v>
      </c>
    </row>
    <row r="307" spans="1:21" x14ac:dyDescent="0.3">
      <c r="A307" s="21" t="s">
        <v>1088</v>
      </c>
      <c r="B307" s="21">
        <v>990243</v>
      </c>
      <c r="C307" s="21" t="s">
        <v>1089</v>
      </c>
      <c r="D307" s="21" t="s">
        <v>1090</v>
      </c>
      <c r="E307" s="21" t="s">
        <v>63</v>
      </c>
      <c r="F307" s="21" t="s">
        <v>293</v>
      </c>
      <c r="G307" s="21" t="s">
        <v>126</v>
      </c>
      <c r="H307" s="21" t="s">
        <v>89</v>
      </c>
      <c r="I307" s="21" t="s">
        <v>75</v>
      </c>
      <c r="J307" s="32">
        <v>201991.8</v>
      </c>
      <c r="K307" s="21" t="s">
        <v>72</v>
      </c>
      <c r="L307" s="33">
        <v>45391</v>
      </c>
      <c r="M307" s="21" t="s">
        <v>80</v>
      </c>
      <c r="N307" s="32">
        <v>1661830.21</v>
      </c>
      <c r="O307" s="21" t="s">
        <v>150</v>
      </c>
      <c r="P307" s="21" t="str">
        <f t="shared" si="24"/>
        <v>2024-04</v>
      </c>
      <c r="Q307" s="21">
        <f t="shared" si="25"/>
        <v>2024</v>
      </c>
      <c r="R307" s="34">
        <f t="shared" si="26"/>
        <v>45383</v>
      </c>
      <c r="S307" s="21">
        <f t="shared" si="27"/>
        <v>0</v>
      </c>
      <c r="T307" s="21" t="str">
        <f t="shared" si="28"/>
        <v>Cash-Based</v>
      </c>
      <c r="U307" s="21" t="str">
        <f t="shared" si="29"/>
        <v>One-Time</v>
      </c>
    </row>
    <row r="308" spans="1:21" x14ac:dyDescent="0.3">
      <c r="A308" s="21" t="s">
        <v>1091</v>
      </c>
      <c r="B308" s="21">
        <v>311363</v>
      </c>
      <c r="C308" s="21" t="s">
        <v>1092</v>
      </c>
      <c r="D308" s="21" t="s">
        <v>1093</v>
      </c>
      <c r="E308" s="21" t="s">
        <v>64</v>
      </c>
      <c r="F308" s="21" t="s">
        <v>162</v>
      </c>
      <c r="G308" s="21" t="s">
        <v>114</v>
      </c>
      <c r="H308" s="21" t="s">
        <v>87</v>
      </c>
      <c r="I308" s="21" t="s">
        <v>78</v>
      </c>
      <c r="J308" s="32">
        <v>460250.13</v>
      </c>
      <c r="K308" s="21" t="s">
        <v>72</v>
      </c>
      <c r="L308" s="33">
        <v>45371</v>
      </c>
      <c r="M308" s="21" t="s">
        <v>80</v>
      </c>
      <c r="N308" s="32">
        <v>1506146.94</v>
      </c>
      <c r="O308" s="21" t="s">
        <v>311</v>
      </c>
      <c r="P308" s="21" t="str">
        <f t="shared" si="24"/>
        <v>2024-03</v>
      </c>
      <c r="Q308" s="21">
        <f t="shared" si="25"/>
        <v>2024</v>
      </c>
      <c r="R308" s="34">
        <f t="shared" si="26"/>
        <v>45352</v>
      </c>
      <c r="S308" s="21">
        <f t="shared" si="27"/>
        <v>1</v>
      </c>
      <c r="T308" s="21" t="str">
        <f t="shared" si="28"/>
        <v>Cash-Based</v>
      </c>
      <c r="U308" s="21" t="str">
        <f t="shared" si="29"/>
        <v>One-Time</v>
      </c>
    </row>
    <row r="309" spans="1:21" x14ac:dyDescent="0.3">
      <c r="A309" s="21" t="s">
        <v>1094</v>
      </c>
      <c r="B309" s="21">
        <v>462822</v>
      </c>
      <c r="C309" s="21" t="s">
        <v>1095</v>
      </c>
      <c r="D309" s="21" t="s">
        <v>1096</v>
      </c>
      <c r="E309" s="21" t="s">
        <v>60</v>
      </c>
      <c r="F309" s="21" t="s">
        <v>166</v>
      </c>
      <c r="G309" s="21" t="s">
        <v>107</v>
      </c>
      <c r="H309" s="21" t="s">
        <v>89</v>
      </c>
      <c r="I309" s="21" t="s">
        <v>76</v>
      </c>
      <c r="J309" s="32">
        <v>13160.06</v>
      </c>
      <c r="K309" s="21" t="s">
        <v>68</v>
      </c>
      <c r="L309" s="33">
        <v>45709</v>
      </c>
      <c r="M309" s="21" t="s">
        <v>80</v>
      </c>
      <c r="N309" s="32">
        <v>1579591.09</v>
      </c>
      <c r="O309" s="21" t="s">
        <v>150</v>
      </c>
      <c r="P309" s="21" t="str">
        <f t="shared" si="24"/>
        <v>2025-02</v>
      </c>
      <c r="Q309" s="21">
        <f t="shared" si="25"/>
        <v>2025</v>
      </c>
      <c r="R309" s="34">
        <f t="shared" si="26"/>
        <v>45689</v>
      </c>
      <c r="S309" s="21">
        <f t="shared" si="27"/>
        <v>0</v>
      </c>
      <c r="T309" s="21" t="str">
        <f t="shared" si="28"/>
        <v>Digital</v>
      </c>
      <c r="U309" s="21" t="str">
        <f t="shared" si="29"/>
        <v>One-Time</v>
      </c>
    </row>
    <row r="310" spans="1:21" x14ac:dyDescent="0.3">
      <c r="A310" s="21" t="s">
        <v>1097</v>
      </c>
      <c r="B310" s="21">
        <v>712345</v>
      </c>
      <c r="C310" s="21" t="s">
        <v>1098</v>
      </c>
      <c r="D310" s="21" t="s">
        <v>1099</v>
      </c>
      <c r="E310" s="21" t="s">
        <v>64</v>
      </c>
      <c r="F310" s="21" t="s">
        <v>158</v>
      </c>
      <c r="G310" s="21" t="s">
        <v>108</v>
      </c>
      <c r="H310" s="21" t="s">
        <v>88</v>
      </c>
      <c r="I310" s="21" t="s">
        <v>78</v>
      </c>
      <c r="J310" s="32">
        <v>525074.59</v>
      </c>
      <c r="K310" s="21" t="s">
        <v>68</v>
      </c>
      <c r="L310" s="33">
        <v>45315</v>
      </c>
      <c r="M310" s="21" t="s">
        <v>80</v>
      </c>
      <c r="N310" s="32">
        <v>938423.33</v>
      </c>
      <c r="O310" s="21" t="s">
        <v>150</v>
      </c>
      <c r="P310" s="21" t="str">
        <f t="shared" si="24"/>
        <v>2024-01</v>
      </c>
      <c r="Q310" s="21">
        <f t="shared" si="25"/>
        <v>2024</v>
      </c>
      <c r="R310" s="34">
        <f t="shared" si="26"/>
        <v>45292</v>
      </c>
      <c r="S310" s="21">
        <f t="shared" si="27"/>
        <v>0</v>
      </c>
      <c r="T310" s="21" t="str">
        <f t="shared" si="28"/>
        <v>Digital</v>
      </c>
      <c r="U310" s="21" t="str">
        <f t="shared" si="29"/>
        <v>One-Time</v>
      </c>
    </row>
    <row r="311" spans="1:21" x14ac:dyDescent="0.3">
      <c r="A311" s="21" t="s">
        <v>1100</v>
      </c>
      <c r="B311" s="21">
        <v>113883</v>
      </c>
      <c r="C311" s="21" t="s">
        <v>1101</v>
      </c>
      <c r="D311" s="21" t="s">
        <v>1102</v>
      </c>
      <c r="E311" s="21" t="s">
        <v>64</v>
      </c>
      <c r="F311" s="21" t="s">
        <v>158</v>
      </c>
      <c r="G311" s="21" t="s">
        <v>108</v>
      </c>
      <c r="H311" s="21" t="s">
        <v>86</v>
      </c>
      <c r="I311" s="21" t="s">
        <v>75</v>
      </c>
      <c r="J311" s="32">
        <v>124890</v>
      </c>
      <c r="K311" s="21" t="s">
        <v>69</v>
      </c>
      <c r="L311" s="33">
        <v>45477</v>
      </c>
      <c r="M311" s="21" t="s">
        <v>80</v>
      </c>
      <c r="N311" s="32">
        <v>431745.3</v>
      </c>
      <c r="O311" s="21" t="s">
        <v>150</v>
      </c>
      <c r="P311" s="21" t="str">
        <f t="shared" si="24"/>
        <v>2024-07</v>
      </c>
      <c r="Q311" s="21">
        <f t="shared" si="25"/>
        <v>2024</v>
      </c>
      <c r="R311" s="34">
        <f t="shared" si="26"/>
        <v>45474</v>
      </c>
      <c r="S311" s="21">
        <f t="shared" si="27"/>
        <v>0</v>
      </c>
      <c r="T311" s="21" t="str">
        <f t="shared" si="28"/>
        <v>Card-Based</v>
      </c>
      <c r="U311" s="21" t="str">
        <f t="shared" si="29"/>
        <v>One-Time</v>
      </c>
    </row>
    <row r="312" spans="1:21" x14ac:dyDescent="0.3">
      <c r="A312" s="21" t="s">
        <v>1103</v>
      </c>
      <c r="B312" s="21">
        <v>339747</v>
      </c>
      <c r="C312" s="21" t="s">
        <v>1104</v>
      </c>
      <c r="D312" s="21" t="s">
        <v>1105</v>
      </c>
      <c r="E312" s="21" t="s">
        <v>62</v>
      </c>
      <c r="F312" s="21" t="s">
        <v>310</v>
      </c>
      <c r="G312" s="21" t="s">
        <v>110</v>
      </c>
      <c r="H312" s="21" t="s">
        <v>88</v>
      </c>
      <c r="I312" s="21" t="s">
        <v>76</v>
      </c>
      <c r="J312" s="32">
        <v>96128.29</v>
      </c>
      <c r="K312" s="21" t="s">
        <v>72</v>
      </c>
      <c r="L312" s="33">
        <v>45378</v>
      </c>
      <c r="M312" s="21" t="s">
        <v>80</v>
      </c>
      <c r="N312" s="32">
        <v>311631.5</v>
      </c>
      <c r="O312" s="21" t="s">
        <v>150</v>
      </c>
      <c r="P312" s="21" t="str">
        <f t="shared" si="24"/>
        <v>2024-03</v>
      </c>
      <c r="Q312" s="21">
        <f t="shared" si="25"/>
        <v>2024</v>
      </c>
      <c r="R312" s="34">
        <f t="shared" si="26"/>
        <v>45352</v>
      </c>
      <c r="S312" s="21">
        <f t="shared" si="27"/>
        <v>0</v>
      </c>
      <c r="T312" s="21" t="str">
        <f t="shared" si="28"/>
        <v>Cash-Based</v>
      </c>
      <c r="U312" s="21" t="str">
        <f t="shared" si="29"/>
        <v>One-Time</v>
      </c>
    </row>
    <row r="313" spans="1:21" x14ac:dyDescent="0.3">
      <c r="A313" s="21" t="s">
        <v>1106</v>
      </c>
      <c r="B313" s="21">
        <v>124171</v>
      </c>
      <c r="C313" s="21" t="s">
        <v>1107</v>
      </c>
      <c r="D313" s="21" t="s">
        <v>1108</v>
      </c>
      <c r="E313" s="21" t="s">
        <v>63</v>
      </c>
      <c r="F313" s="21" t="s">
        <v>223</v>
      </c>
      <c r="G313" s="21" t="s">
        <v>129</v>
      </c>
      <c r="H313" s="21" t="s">
        <v>86</v>
      </c>
      <c r="I313" s="21" t="s">
        <v>75</v>
      </c>
      <c r="J313" s="32">
        <v>78134.240000000005</v>
      </c>
      <c r="K313" s="21" t="s">
        <v>68</v>
      </c>
      <c r="L313" s="33">
        <v>45595</v>
      </c>
      <c r="M313" s="21" t="s">
        <v>80</v>
      </c>
      <c r="N313" s="32">
        <v>1325069.24</v>
      </c>
      <c r="O313" s="21" t="s">
        <v>150</v>
      </c>
      <c r="P313" s="21" t="str">
        <f t="shared" si="24"/>
        <v>2024-10</v>
      </c>
      <c r="Q313" s="21">
        <f t="shared" si="25"/>
        <v>2024</v>
      </c>
      <c r="R313" s="34">
        <f t="shared" si="26"/>
        <v>45566</v>
      </c>
      <c r="S313" s="21">
        <f t="shared" si="27"/>
        <v>0</v>
      </c>
      <c r="T313" s="21" t="str">
        <f t="shared" si="28"/>
        <v>Digital</v>
      </c>
      <c r="U313" s="21" t="str">
        <f t="shared" si="29"/>
        <v>One-Time</v>
      </c>
    </row>
    <row r="314" spans="1:21" x14ac:dyDescent="0.3">
      <c r="A314" s="21" t="s">
        <v>1109</v>
      </c>
      <c r="B314" s="21">
        <v>805755</v>
      </c>
      <c r="C314" s="21" t="s">
        <v>1110</v>
      </c>
      <c r="D314" s="21" t="s">
        <v>1111</v>
      </c>
      <c r="E314" s="21" t="s">
        <v>63</v>
      </c>
      <c r="F314" s="21" t="s">
        <v>293</v>
      </c>
      <c r="G314" s="21" t="s">
        <v>126</v>
      </c>
      <c r="H314" s="21" t="s">
        <v>89</v>
      </c>
      <c r="I314" s="21" t="s">
        <v>78</v>
      </c>
      <c r="J314" s="32">
        <v>112622.64</v>
      </c>
      <c r="K314" s="21" t="s">
        <v>72</v>
      </c>
      <c r="L314" s="33">
        <v>45332</v>
      </c>
      <c r="M314" s="21" t="s">
        <v>81</v>
      </c>
      <c r="N314" s="32">
        <v>1684299.3</v>
      </c>
      <c r="O314" s="21" t="s">
        <v>150</v>
      </c>
      <c r="P314" s="21" t="str">
        <f t="shared" si="24"/>
        <v>2024-02</v>
      </c>
      <c r="Q314" s="21">
        <f t="shared" si="25"/>
        <v>2024</v>
      </c>
      <c r="R314" s="34">
        <f t="shared" si="26"/>
        <v>45323</v>
      </c>
      <c r="S314" s="21">
        <f t="shared" si="27"/>
        <v>0</v>
      </c>
      <c r="T314" s="21" t="str">
        <f t="shared" si="28"/>
        <v>Cash-Based</v>
      </c>
      <c r="U314" s="21" t="str">
        <f t="shared" si="29"/>
        <v>One-Time</v>
      </c>
    </row>
    <row r="315" spans="1:21" x14ac:dyDescent="0.3">
      <c r="A315" s="21" t="s">
        <v>1112</v>
      </c>
      <c r="B315" s="21">
        <v>596468</v>
      </c>
      <c r="C315" s="21" t="s">
        <v>1113</v>
      </c>
      <c r="D315" s="21" t="s">
        <v>1114</v>
      </c>
      <c r="E315" s="21" t="s">
        <v>62</v>
      </c>
      <c r="F315" s="21" t="s">
        <v>199</v>
      </c>
      <c r="G315" s="21" t="s">
        <v>120</v>
      </c>
      <c r="H315" s="21" t="s">
        <v>89</v>
      </c>
      <c r="I315" s="21" t="s">
        <v>76</v>
      </c>
      <c r="J315" s="32">
        <v>406595</v>
      </c>
      <c r="K315" s="21" t="s">
        <v>69</v>
      </c>
      <c r="L315" s="33">
        <v>45576</v>
      </c>
      <c r="M315" s="21" t="s">
        <v>80</v>
      </c>
      <c r="N315" s="32">
        <v>585059.64</v>
      </c>
      <c r="O315" s="21" t="s">
        <v>150</v>
      </c>
      <c r="P315" s="21" t="str">
        <f t="shared" si="24"/>
        <v>2024-10</v>
      </c>
      <c r="Q315" s="21">
        <f t="shared" si="25"/>
        <v>2024</v>
      </c>
      <c r="R315" s="34">
        <f t="shared" si="26"/>
        <v>45566</v>
      </c>
      <c r="S315" s="21">
        <f t="shared" si="27"/>
        <v>0</v>
      </c>
      <c r="T315" s="21" t="str">
        <f t="shared" si="28"/>
        <v>Card-Based</v>
      </c>
      <c r="U315" s="21" t="str">
        <f t="shared" si="29"/>
        <v>One-Time</v>
      </c>
    </row>
    <row r="316" spans="1:21" x14ac:dyDescent="0.3">
      <c r="A316" s="21" t="s">
        <v>1115</v>
      </c>
      <c r="B316" s="21">
        <v>111146</v>
      </c>
      <c r="C316" s="21" t="s">
        <v>1116</v>
      </c>
      <c r="D316" s="21" t="s">
        <v>1117</v>
      </c>
      <c r="E316" s="21" t="s">
        <v>63</v>
      </c>
      <c r="F316" s="21" t="s">
        <v>255</v>
      </c>
      <c r="G316" s="21" t="s">
        <v>115</v>
      </c>
      <c r="H316" s="21" t="s">
        <v>87</v>
      </c>
      <c r="I316" s="21" t="s">
        <v>77</v>
      </c>
      <c r="J316" s="32">
        <v>67907.710000000006</v>
      </c>
      <c r="K316" s="21" t="s">
        <v>68</v>
      </c>
      <c r="L316" s="33">
        <v>45829</v>
      </c>
      <c r="M316" s="21" t="s">
        <v>80</v>
      </c>
      <c r="N316" s="32">
        <v>400650.52</v>
      </c>
      <c r="O316" s="21" t="s">
        <v>150</v>
      </c>
      <c r="P316" s="21" t="str">
        <f t="shared" si="24"/>
        <v>2025-06</v>
      </c>
      <c r="Q316" s="21">
        <f t="shared" si="25"/>
        <v>2025</v>
      </c>
      <c r="R316" s="34">
        <f t="shared" si="26"/>
        <v>45809</v>
      </c>
      <c r="S316" s="21">
        <f t="shared" si="27"/>
        <v>0</v>
      </c>
      <c r="T316" s="21" t="str">
        <f t="shared" si="28"/>
        <v>Digital</v>
      </c>
      <c r="U316" s="21" t="str">
        <f t="shared" si="29"/>
        <v>One-Time</v>
      </c>
    </row>
    <row r="317" spans="1:21" x14ac:dyDescent="0.3">
      <c r="A317" s="21" t="s">
        <v>1118</v>
      </c>
      <c r="B317" s="21">
        <v>479530</v>
      </c>
      <c r="C317" s="21" t="s">
        <v>1119</v>
      </c>
      <c r="D317" s="21" t="s">
        <v>1120</v>
      </c>
      <c r="E317" s="21" t="s">
        <v>63</v>
      </c>
      <c r="F317" s="21" t="s">
        <v>223</v>
      </c>
      <c r="G317" s="21" t="s">
        <v>129</v>
      </c>
      <c r="H317" s="21" t="s">
        <v>87</v>
      </c>
      <c r="I317" s="21" t="s">
        <v>77</v>
      </c>
      <c r="J317" s="32">
        <v>7625.81</v>
      </c>
      <c r="K317" s="21" t="s">
        <v>70</v>
      </c>
      <c r="L317" s="33">
        <v>45374</v>
      </c>
      <c r="M317" s="21" t="s">
        <v>80</v>
      </c>
      <c r="N317" s="32">
        <v>788581.85</v>
      </c>
      <c r="O317" s="21" t="s">
        <v>150</v>
      </c>
      <c r="P317" s="21" t="str">
        <f t="shared" si="24"/>
        <v>2024-03</v>
      </c>
      <c r="Q317" s="21">
        <f t="shared" si="25"/>
        <v>2024</v>
      </c>
      <c r="R317" s="34">
        <f t="shared" si="26"/>
        <v>45352</v>
      </c>
      <c r="S317" s="21">
        <f t="shared" si="27"/>
        <v>0</v>
      </c>
      <c r="T317" s="21" t="str">
        <f t="shared" si="28"/>
        <v>Card-Based</v>
      </c>
      <c r="U317" s="21" t="str">
        <f t="shared" si="29"/>
        <v>One-Time</v>
      </c>
    </row>
    <row r="318" spans="1:21" x14ac:dyDescent="0.3">
      <c r="A318" s="21" t="s">
        <v>1121</v>
      </c>
      <c r="B318" s="21">
        <v>937519</v>
      </c>
      <c r="C318" s="21" t="s">
        <v>1122</v>
      </c>
      <c r="D318" s="21" t="s">
        <v>1123</v>
      </c>
      <c r="E318" s="21" t="s">
        <v>62</v>
      </c>
      <c r="F318" s="21" t="s">
        <v>297</v>
      </c>
      <c r="G318" s="21" t="s">
        <v>111</v>
      </c>
      <c r="H318" s="21" t="s">
        <v>89</v>
      </c>
      <c r="I318" s="21" t="s">
        <v>78</v>
      </c>
      <c r="J318" s="32">
        <v>24749.02</v>
      </c>
      <c r="K318" s="21" t="s">
        <v>71</v>
      </c>
      <c r="L318" s="33">
        <v>45708</v>
      </c>
      <c r="M318" s="21" t="s">
        <v>80</v>
      </c>
      <c r="N318" s="32">
        <v>239240.66</v>
      </c>
      <c r="O318" s="21" t="s">
        <v>150</v>
      </c>
      <c r="P318" s="21" t="str">
        <f t="shared" si="24"/>
        <v>2025-02</v>
      </c>
      <c r="Q318" s="21">
        <f t="shared" si="25"/>
        <v>2025</v>
      </c>
      <c r="R318" s="34">
        <f t="shared" si="26"/>
        <v>45689</v>
      </c>
      <c r="S318" s="21">
        <f t="shared" si="27"/>
        <v>0</v>
      </c>
      <c r="T318" s="21" t="str">
        <f t="shared" si="28"/>
        <v>Digital</v>
      </c>
      <c r="U318" s="21" t="str">
        <f t="shared" si="29"/>
        <v>One-Time</v>
      </c>
    </row>
    <row r="319" spans="1:21" x14ac:dyDescent="0.3">
      <c r="A319" s="21" t="s">
        <v>1124</v>
      </c>
      <c r="B319" s="21">
        <v>557246</v>
      </c>
      <c r="C319" s="21" t="s">
        <v>1125</v>
      </c>
      <c r="D319" s="21" t="s">
        <v>1126</v>
      </c>
      <c r="E319" s="21" t="s">
        <v>60</v>
      </c>
      <c r="F319" s="21" t="s">
        <v>149</v>
      </c>
      <c r="G319" s="21" t="s">
        <v>119</v>
      </c>
      <c r="H319" s="21" t="s">
        <v>86</v>
      </c>
      <c r="I319" s="21" t="s">
        <v>77</v>
      </c>
      <c r="J319" s="32">
        <v>46462.29</v>
      </c>
      <c r="K319" s="21" t="s">
        <v>72</v>
      </c>
      <c r="L319" s="33">
        <v>45608</v>
      </c>
      <c r="M319" s="21" t="s">
        <v>80</v>
      </c>
      <c r="N319" s="32">
        <v>1272270</v>
      </c>
      <c r="O319" s="21" t="s">
        <v>150</v>
      </c>
      <c r="P319" s="21" t="str">
        <f t="shared" si="24"/>
        <v>2024-11</v>
      </c>
      <c r="Q319" s="21">
        <f t="shared" si="25"/>
        <v>2024</v>
      </c>
      <c r="R319" s="34">
        <f t="shared" si="26"/>
        <v>45597</v>
      </c>
      <c r="S319" s="21">
        <f t="shared" si="27"/>
        <v>0</v>
      </c>
      <c r="T319" s="21" t="str">
        <f t="shared" si="28"/>
        <v>Cash-Based</v>
      </c>
      <c r="U319" s="21" t="str">
        <f t="shared" si="29"/>
        <v>One-Time</v>
      </c>
    </row>
    <row r="320" spans="1:21" x14ac:dyDescent="0.3">
      <c r="A320" s="21" t="s">
        <v>1127</v>
      </c>
      <c r="B320" s="21">
        <v>959323</v>
      </c>
      <c r="C320" s="21" t="s">
        <v>1128</v>
      </c>
      <c r="D320" s="21" t="s">
        <v>1129</v>
      </c>
      <c r="E320" s="21" t="s">
        <v>61</v>
      </c>
      <c r="F320" s="21" t="s">
        <v>279</v>
      </c>
      <c r="G320" s="21" t="s">
        <v>125</v>
      </c>
      <c r="H320" s="21" t="s">
        <v>88</v>
      </c>
      <c r="I320" s="21" t="s">
        <v>76</v>
      </c>
      <c r="J320" s="32">
        <v>306121.71000000002</v>
      </c>
      <c r="K320" s="21" t="s">
        <v>69</v>
      </c>
      <c r="L320" s="33">
        <v>45338</v>
      </c>
      <c r="M320" s="21" t="s">
        <v>80</v>
      </c>
      <c r="N320" s="32">
        <v>648457.01</v>
      </c>
      <c r="O320" s="21" t="s">
        <v>150</v>
      </c>
      <c r="P320" s="21" t="str">
        <f t="shared" si="24"/>
        <v>2024-02</v>
      </c>
      <c r="Q320" s="21">
        <f t="shared" si="25"/>
        <v>2024</v>
      </c>
      <c r="R320" s="34">
        <f t="shared" si="26"/>
        <v>45323</v>
      </c>
      <c r="S320" s="21">
        <f t="shared" si="27"/>
        <v>0</v>
      </c>
      <c r="T320" s="21" t="str">
        <f t="shared" si="28"/>
        <v>Card-Based</v>
      </c>
      <c r="U320" s="21" t="str">
        <f t="shared" si="29"/>
        <v>One-Time</v>
      </c>
    </row>
    <row r="321" spans="1:21" x14ac:dyDescent="0.3">
      <c r="A321" s="21" t="s">
        <v>1130</v>
      </c>
      <c r="B321" s="21">
        <v>931835</v>
      </c>
      <c r="C321" s="21" t="s">
        <v>1131</v>
      </c>
      <c r="D321" s="21" t="s">
        <v>1132</v>
      </c>
      <c r="E321" s="21" t="s">
        <v>64</v>
      </c>
      <c r="F321" s="21" t="s">
        <v>188</v>
      </c>
      <c r="G321" s="21" t="s">
        <v>112</v>
      </c>
      <c r="H321" s="21" t="s">
        <v>87</v>
      </c>
      <c r="I321" s="21" t="s">
        <v>77</v>
      </c>
      <c r="J321" s="32">
        <v>26846.38</v>
      </c>
      <c r="K321" s="21" t="s">
        <v>70</v>
      </c>
      <c r="L321" s="33">
        <v>45716</v>
      </c>
      <c r="M321" s="21" t="s">
        <v>80</v>
      </c>
      <c r="N321" s="32">
        <v>278385.8</v>
      </c>
      <c r="O321" s="21" t="s">
        <v>150</v>
      </c>
      <c r="P321" s="21" t="str">
        <f t="shared" si="24"/>
        <v>2025-02</v>
      </c>
      <c r="Q321" s="21">
        <f t="shared" si="25"/>
        <v>2025</v>
      </c>
      <c r="R321" s="34">
        <f t="shared" si="26"/>
        <v>45689</v>
      </c>
      <c r="S321" s="21">
        <f t="shared" si="27"/>
        <v>0</v>
      </c>
      <c r="T321" s="21" t="str">
        <f t="shared" si="28"/>
        <v>Card-Based</v>
      </c>
      <c r="U321" s="21" t="str">
        <f t="shared" si="29"/>
        <v>One-Time</v>
      </c>
    </row>
    <row r="322" spans="1:21" x14ac:dyDescent="0.3">
      <c r="A322" s="21" t="s">
        <v>1133</v>
      </c>
      <c r="B322" s="21">
        <v>181715</v>
      </c>
      <c r="C322" s="21" t="s">
        <v>1134</v>
      </c>
      <c r="D322" s="21" t="s">
        <v>1135</v>
      </c>
      <c r="E322" s="21" t="s">
        <v>60</v>
      </c>
      <c r="F322" s="21" t="s">
        <v>149</v>
      </c>
      <c r="G322" s="21" t="s">
        <v>119</v>
      </c>
      <c r="H322" s="21" t="s">
        <v>89</v>
      </c>
      <c r="I322" s="21" t="s">
        <v>78</v>
      </c>
      <c r="J322" s="32">
        <v>181640.7</v>
      </c>
      <c r="K322" s="21" t="s">
        <v>72</v>
      </c>
      <c r="L322" s="33">
        <v>45537</v>
      </c>
      <c r="M322" s="21" t="s">
        <v>80</v>
      </c>
      <c r="N322" s="32">
        <v>458407.24</v>
      </c>
      <c r="O322" s="21" t="s">
        <v>150</v>
      </c>
      <c r="P322" s="21" t="str">
        <f t="shared" ref="P322:P385" si="30">TEXT(L322,"yyyy-mm")</f>
        <v>2024-09</v>
      </c>
      <c r="Q322" s="21">
        <f t="shared" ref="Q322:Q385" si="31">YEAR(L322)</f>
        <v>2024</v>
      </c>
      <c r="R322" s="34">
        <f t="shared" ref="R322:R385" si="32">DATE(YEAR(L322),MONTH(L322),1)</f>
        <v>45536</v>
      </c>
      <c r="S322" s="21">
        <f t="shared" ref="S322:S385" si="33">IF(O322="Yes",1,0)</f>
        <v>0</v>
      </c>
      <c r="T322" s="21" t="str">
        <f t="shared" ref="T322:T385" si="34">IF(OR(K322="UPI",K322="Net Banking"),"Digital",IF(OR(K322="Debit Card",K322="Credit Card"),"Card-Based",IF(K322="Cash","Cash-Based","Unknown")))</f>
        <v>Cash-Based</v>
      </c>
      <c r="U322" s="21" t="str">
        <f t="shared" ref="U322:U385" si="35">IF(COUNTIF($B$2:$B$501,B322)&gt;1,"Frequent","One-Time")</f>
        <v>One-Time</v>
      </c>
    </row>
    <row r="323" spans="1:21" x14ac:dyDescent="0.3">
      <c r="A323" s="21" t="s">
        <v>1136</v>
      </c>
      <c r="B323" s="21">
        <v>300670</v>
      </c>
      <c r="C323" s="21" t="s">
        <v>1137</v>
      </c>
      <c r="D323" s="21" t="s">
        <v>1138</v>
      </c>
      <c r="E323" s="21" t="s">
        <v>63</v>
      </c>
      <c r="F323" s="21" t="s">
        <v>223</v>
      </c>
      <c r="G323" s="21" t="s">
        <v>129</v>
      </c>
      <c r="H323" s="21" t="s">
        <v>86</v>
      </c>
      <c r="I323" s="21" t="s">
        <v>76</v>
      </c>
      <c r="J323" s="32">
        <v>17763.02</v>
      </c>
      <c r="K323" s="21" t="s">
        <v>72</v>
      </c>
      <c r="L323" s="33">
        <v>45413</v>
      </c>
      <c r="M323" s="21" t="s">
        <v>80</v>
      </c>
      <c r="N323" s="32">
        <v>841969.9</v>
      </c>
      <c r="O323" s="21" t="s">
        <v>150</v>
      </c>
      <c r="P323" s="21" t="str">
        <f t="shared" si="30"/>
        <v>2024-05</v>
      </c>
      <c r="Q323" s="21">
        <f t="shared" si="31"/>
        <v>2024</v>
      </c>
      <c r="R323" s="34">
        <f t="shared" si="32"/>
        <v>45413</v>
      </c>
      <c r="S323" s="21">
        <f t="shared" si="33"/>
        <v>0</v>
      </c>
      <c r="T323" s="21" t="str">
        <f t="shared" si="34"/>
        <v>Cash-Based</v>
      </c>
      <c r="U323" s="21" t="str">
        <f t="shared" si="35"/>
        <v>One-Time</v>
      </c>
    </row>
    <row r="324" spans="1:21" x14ac:dyDescent="0.3">
      <c r="A324" s="21" t="s">
        <v>1139</v>
      </c>
      <c r="B324" s="21">
        <v>405161</v>
      </c>
      <c r="C324" s="21" t="s">
        <v>1140</v>
      </c>
      <c r="D324" s="21" t="s">
        <v>1141</v>
      </c>
      <c r="E324" s="21" t="s">
        <v>63</v>
      </c>
      <c r="F324" s="21" t="s">
        <v>227</v>
      </c>
      <c r="G324" s="21" t="s">
        <v>118</v>
      </c>
      <c r="H324" s="21" t="s">
        <v>87</v>
      </c>
      <c r="I324" s="21" t="s">
        <v>78</v>
      </c>
      <c r="J324" s="32">
        <v>367978.86</v>
      </c>
      <c r="K324" s="21" t="s">
        <v>68</v>
      </c>
      <c r="L324" s="33">
        <v>45248</v>
      </c>
      <c r="M324" s="21" t="s">
        <v>80</v>
      </c>
      <c r="N324" s="32">
        <v>840788.77</v>
      </c>
      <c r="O324" s="21" t="s">
        <v>150</v>
      </c>
      <c r="P324" s="21" t="str">
        <f t="shared" si="30"/>
        <v>2023-11</v>
      </c>
      <c r="Q324" s="21">
        <f t="shared" si="31"/>
        <v>2023</v>
      </c>
      <c r="R324" s="34">
        <f t="shared" si="32"/>
        <v>45231</v>
      </c>
      <c r="S324" s="21">
        <f t="shared" si="33"/>
        <v>0</v>
      </c>
      <c r="T324" s="21" t="str">
        <f t="shared" si="34"/>
        <v>Digital</v>
      </c>
      <c r="U324" s="21" t="str">
        <f t="shared" si="35"/>
        <v>One-Time</v>
      </c>
    </row>
    <row r="325" spans="1:21" x14ac:dyDescent="0.3">
      <c r="A325" s="21" t="s">
        <v>1142</v>
      </c>
      <c r="B325" s="21">
        <v>981665</v>
      </c>
      <c r="C325" s="21" t="s">
        <v>1143</v>
      </c>
      <c r="D325" s="21" t="s">
        <v>1144</v>
      </c>
      <c r="E325" s="21" t="s">
        <v>64</v>
      </c>
      <c r="F325" s="21" t="s">
        <v>262</v>
      </c>
      <c r="G325" s="21" t="s">
        <v>131</v>
      </c>
      <c r="H325" s="21" t="s">
        <v>89</v>
      </c>
      <c r="I325" s="21" t="s">
        <v>78</v>
      </c>
      <c r="J325" s="32">
        <v>212325.1</v>
      </c>
      <c r="K325" s="21" t="s">
        <v>68</v>
      </c>
      <c r="L325" s="33">
        <v>45761</v>
      </c>
      <c r="M325" s="21" t="s">
        <v>80</v>
      </c>
      <c r="N325" s="32">
        <v>1118140.79</v>
      </c>
      <c r="O325" s="21" t="s">
        <v>150</v>
      </c>
      <c r="P325" s="21" t="str">
        <f t="shared" si="30"/>
        <v>2025-04</v>
      </c>
      <c r="Q325" s="21">
        <f t="shared" si="31"/>
        <v>2025</v>
      </c>
      <c r="R325" s="34">
        <f t="shared" si="32"/>
        <v>45748</v>
      </c>
      <c r="S325" s="21">
        <f t="shared" si="33"/>
        <v>0</v>
      </c>
      <c r="T325" s="21" t="str">
        <f t="shared" si="34"/>
        <v>Digital</v>
      </c>
      <c r="U325" s="21" t="str">
        <f t="shared" si="35"/>
        <v>One-Time</v>
      </c>
    </row>
    <row r="326" spans="1:21" x14ac:dyDescent="0.3">
      <c r="A326" s="21" t="s">
        <v>1145</v>
      </c>
      <c r="B326" s="21">
        <v>355753</v>
      </c>
      <c r="C326" s="21" t="s">
        <v>1146</v>
      </c>
      <c r="D326" s="21" t="s">
        <v>1147</v>
      </c>
      <c r="E326" s="21" t="s">
        <v>60</v>
      </c>
      <c r="F326" s="21" t="s">
        <v>203</v>
      </c>
      <c r="G326" s="21" t="s">
        <v>128</v>
      </c>
      <c r="H326" s="21" t="s">
        <v>88</v>
      </c>
      <c r="I326" s="21" t="s">
        <v>77</v>
      </c>
      <c r="J326" s="32">
        <v>47698.28</v>
      </c>
      <c r="K326" s="21" t="s">
        <v>70</v>
      </c>
      <c r="L326" s="33">
        <v>45434</v>
      </c>
      <c r="M326" s="21" t="s">
        <v>80</v>
      </c>
      <c r="N326" s="32">
        <v>642724.73</v>
      </c>
      <c r="O326" s="21" t="s">
        <v>150</v>
      </c>
      <c r="P326" s="21" t="str">
        <f t="shared" si="30"/>
        <v>2024-05</v>
      </c>
      <c r="Q326" s="21">
        <f t="shared" si="31"/>
        <v>2024</v>
      </c>
      <c r="R326" s="34">
        <f t="shared" si="32"/>
        <v>45413</v>
      </c>
      <c r="S326" s="21">
        <f t="shared" si="33"/>
        <v>0</v>
      </c>
      <c r="T326" s="21" t="str">
        <f t="shared" si="34"/>
        <v>Card-Based</v>
      </c>
      <c r="U326" s="21" t="str">
        <f t="shared" si="35"/>
        <v>One-Time</v>
      </c>
    </row>
    <row r="327" spans="1:21" x14ac:dyDescent="0.3">
      <c r="A327" s="21" t="s">
        <v>1148</v>
      </c>
      <c r="B327" s="21">
        <v>159266</v>
      </c>
      <c r="C327" s="21" t="s">
        <v>1149</v>
      </c>
      <c r="D327" s="21" t="s">
        <v>1150</v>
      </c>
      <c r="E327" s="21" t="s">
        <v>61</v>
      </c>
      <c r="F327" s="21" t="s">
        <v>195</v>
      </c>
      <c r="G327" s="21" t="s">
        <v>116</v>
      </c>
      <c r="H327" s="21" t="s">
        <v>86</v>
      </c>
      <c r="I327" s="21" t="s">
        <v>75</v>
      </c>
      <c r="J327" s="32">
        <v>163974.37</v>
      </c>
      <c r="K327" s="21" t="s">
        <v>68</v>
      </c>
      <c r="L327" s="33">
        <v>45618</v>
      </c>
      <c r="M327" s="21" t="s">
        <v>80</v>
      </c>
      <c r="N327" s="32">
        <v>2009108.15</v>
      </c>
      <c r="O327" s="21" t="s">
        <v>150</v>
      </c>
      <c r="P327" s="21" t="str">
        <f t="shared" si="30"/>
        <v>2024-11</v>
      </c>
      <c r="Q327" s="21">
        <f t="shared" si="31"/>
        <v>2024</v>
      </c>
      <c r="R327" s="34">
        <f t="shared" si="32"/>
        <v>45597</v>
      </c>
      <c r="S327" s="21">
        <f t="shared" si="33"/>
        <v>0</v>
      </c>
      <c r="T327" s="21" t="str">
        <f t="shared" si="34"/>
        <v>Digital</v>
      </c>
      <c r="U327" s="21" t="str">
        <f t="shared" si="35"/>
        <v>One-Time</v>
      </c>
    </row>
    <row r="328" spans="1:21" x14ac:dyDescent="0.3">
      <c r="A328" s="21" t="s">
        <v>1151</v>
      </c>
      <c r="B328" s="21">
        <v>879301</v>
      </c>
      <c r="C328" s="21" t="s">
        <v>1152</v>
      </c>
      <c r="D328" s="21" t="s">
        <v>1153</v>
      </c>
      <c r="E328" s="21" t="s">
        <v>64</v>
      </c>
      <c r="F328" s="21" t="s">
        <v>162</v>
      </c>
      <c r="G328" s="21" t="s">
        <v>114</v>
      </c>
      <c r="H328" s="21" t="s">
        <v>87</v>
      </c>
      <c r="I328" s="21" t="s">
        <v>78</v>
      </c>
      <c r="J328" s="32">
        <v>189190.47</v>
      </c>
      <c r="K328" s="21" t="s">
        <v>71</v>
      </c>
      <c r="L328" s="33">
        <v>45599</v>
      </c>
      <c r="M328" s="21" t="s">
        <v>80</v>
      </c>
      <c r="N328" s="32">
        <v>1036192.27</v>
      </c>
      <c r="O328" s="21" t="s">
        <v>150</v>
      </c>
      <c r="P328" s="21" t="str">
        <f t="shared" si="30"/>
        <v>2024-11</v>
      </c>
      <c r="Q328" s="21">
        <f t="shared" si="31"/>
        <v>2024</v>
      </c>
      <c r="R328" s="34">
        <f t="shared" si="32"/>
        <v>45597</v>
      </c>
      <c r="S328" s="21">
        <f t="shared" si="33"/>
        <v>0</v>
      </c>
      <c r="T328" s="21" t="str">
        <f t="shared" si="34"/>
        <v>Digital</v>
      </c>
      <c r="U328" s="21" t="str">
        <f t="shared" si="35"/>
        <v>One-Time</v>
      </c>
    </row>
    <row r="329" spans="1:21" x14ac:dyDescent="0.3">
      <c r="A329" s="21" t="s">
        <v>1154</v>
      </c>
      <c r="B329" s="21">
        <v>116476</v>
      </c>
      <c r="C329" s="21" t="s">
        <v>1155</v>
      </c>
      <c r="D329" s="21" t="s">
        <v>1156</v>
      </c>
      <c r="E329" s="21" t="s">
        <v>63</v>
      </c>
      <c r="F329" s="21" t="s">
        <v>293</v>
      </c>
      <c r="G329" s="21" t="s">
        <v>126</v>
      </c>
      <c r="H329" s="21" t="s">
        <v>89</v>
      </c>
      <c r="I329" s="21" t="s">
        <v>76</v>
      </c>
      <c r="J329" s="32">
        <v>129890.57</v>
      </c>
      <c r="K329" s="21" t="s">
        <v>68</v>
      </c>
      <c r="L329" s="33">
        <v>45598</v>
      </c>
      <c r="M329" s="21" t="s">
        <v>80</v>
      </c>
      <c r="N329" s="32">
        <v>1438950.54</v>
      </c>
      <c r="O329" s="21" t="s">
        <v>150</v>
      </c>
      <c r="P329" s="21" t="str">
        <f t="shared" si="30"/>
        <v>2024-11</v>
      </c>
      <c r="Q329" s="21">
        <f t="shared" si="31"/>
        <v>2024</v>
      </c>
      <c r="R329" s="34">
        <f t="shared" si="32"/>
        <v>45597</v>
      </c>
      <c r="S329" s="21">
        <f t="shared" si="33"/>
        <v>0</v>
      </c>
      <c r="T329" s="21" t="str">
        <f t="shared" si="34"/>
        <v>Digital</v>
      </c>
      <c r="U329" s="21" t="str">
        <f t="shared" si="35"/>
        <v>One-Time</v>
      </c>
    </row>
    <row r="330" spans="1:21" x14ac:dyDescent="0.3">
      <c r="A330" s="21" t="s">
        <v>1157</v>
      </c>
      <c r="B330" s="21">
        <v>981915</v>
      </c>
      <c r="C330" s="21" t="s">
        <v>1158</v>
      </c>
      <c r="D330" s="21" t="s">
        <v>1159</v>
      </c>
      <c r="E330" s="21" t="s">
        <v>61</v>
      </c>
      <c r="F330" s="21" t="s">
        <v>279</v>
      </c>
      <c r="G330" s="21" t="s">
        <v>125</v>
      </c>
      <c r="H330" s="21" t="s">
        <v>89</v>
      </c>
      <c r="I330" s="21" t="s">
        <v>75</v>
      </c>
      <c r="J330" s="32">
        <v>254514.65</v>
      </c>
      <c r="K330" s="21" t="s">
        <v>69</v>
      </c>
      <c r="L330" s="33">
        <v>45153</v>
      </c>
      <c r="M330" s="21" t="s">
        <v>80</v>
      </c>
      <c r="N330" s="32">
        <v>318461.15000000002</v>
      </c>
      <c r="O330" s="21" t="s">
        <v>150</v>
      </c>
      <c r="P330" s="21" t="str">
        <f t="shared" si="30"/>
        <v>2023-08</v>
      </c>
      <c r="Q330" s="21">
        <f t="shared" si="31"/>
        <v>2023</v>
      </c>
      <c r="R330" s="34">
        <f t="shared" si="32"/>
        <v>45139</v>
      </c>
      <c r="S330" s="21">
        <f t="shared" si="33"/>
        <v>0</v>
      </c>
      <c r="T330" s="21" t="str">
        <f t="shared" si="34"/>
        <v>Card-Based</v>
      </c>
      <c r="U330" s="21" t="str">
        <f t="shared" si="35"/>
        <v>One-Time</v>
      </c>
    </row>
    <row r="331" spans="1:21" x14ac:dyDescent="0.3">
      <c r="A331" s="21" t="s">
        <v>1160</v>
      </c>
      <c r="B331" s="21">
        <v>569629</v>
      </c>
      <c r="C331" s="21" t="s">
        <v>1161</v>
      </c>
      <c r="D331" s="21" t="s">
        <v>1162</v>
      </c>
      <c r="E331" s="21" t="s">
        <v>62</v>
      </c>
      <c r="F331" s="21" t="s">
        <v>297</v>
      </c>
      <c r="G331" s="21" t="s">
        <v>111</v>
      </c>
      <c r="H331" s="21" t="s">
        <v>89</v>
      </c>
      <c r="I331" s="21" t="s">
        <v>77</v>
      </c>
      <c r="J331" s="32">
        <v>95419.02</v>
      </c>
      <c r="K331" s="21" t="s">
        <v>72</v>
      </c>
      <c r="L331" s="33">
        <v>45185</v>
      </c>
      <c r="M331" s="21" t="s">
        <v>80</v>
      </c>
      <c r="N331" s="32">
        <v>167769.03</v>
      </c>
      <c r="O331" s="21" t="s">
        <v>150</v>
      </c>
      <c r="P331" s="21" t="str">
        <f t="shared" si="30"/>
        <v>2023-09</v>
      </c>
      <c r="Q331" s="21">
        <f t="shared" si="31"/>
        <v>2023</v>
      </c>
      <c r="R331" s="34">
        <f t="shared" si="32"/>
        <v>45170</v>
      </c>
      <c r="S331" s="21">
        <f t="shared" si="33"/>
        <v>0</v>
      </c>
      <c r="T331" s="21" t="str">
        <f t="shared" si="34"/>
        <v>Cash-Based</v>
      </c>
      <c r="U331" s="21" t="str">
        <f t="shared" si="35"/>
        <v>One-Time</v>
      </c>
    </row>
    <row r="332" spans="1:21" x14ac:dyDescent="0.3">
      <c r="A332" s="21" t="s">
        <v>1163</v>
      </c>
      <c r="B332" s="21">
        <v>143218</v>
      </c>
      <c r="C332" s="21" t="s">
        <v>1164</v>
      </c>
      <c r="D332" s="21" t="s">
        <v>1165</v>
      </c>
      <c r="E332" s="21" t="s">
        <v>64</v>
      </c>
      <c r="F332" s="21" t="s">
        <v>262</v>
      </c>
      <c r="G332" s="21" t="s">
        <v>131</v>
      </c>
      <c r="H332" s="21" t="s">
        <v>87</v>
      </c>
      <c r="I332" s="21" t="s">
        <v>77</v>
      </c>
      <c r="J332" s="32">
        <v>58414.13</v>
      </c>
      <c r="K332" s="21" t="s">
        <v>72</v>
      </c>
      <c r="L332" s="33">
        <v>45835</v>
      </c>
      <c r="M332" s="21" t="s">
        <v>80</v>
      </c>
      <c r="N332" s="32">
        <v>918862.34</v>
      </c>
      <c r="O332" s="21" t="s">
        <v>150</v>
      </c>
      <c r="P332" s="21" t="str">
        <f t="shared" si="30"/>
        <v>2025-06</v>
      </c>
      <c r="Q332" s="21">
        <f t="shared" si="31"/>
        <v>2025</v>
      </c>
      <c r="R332" s="34">
        <f t="shared" si="32"/>
        <v>45809</v>
      </c>
      <c r="S332" s="21">
        <f t="shared" si="33"/>
        <v>0</v>
      </c>
      <c r="T332" s="21" t="str">
        <f t="shared" si="34"/>
        <v>Cash-Based</v>
      </c>
      <c r="U332" s="21" t="str">
        <f t="shared" si="35"/>
        <v>One-Time</v>
      </c>
    </row>
    <row r="333" spans="1:21" x14ac:dyDescent="0.3">
      <c r="A333" s="21" t="s">
        <v>1166</v>
      </c>
      <c r="B333" s="21">
        <v>985381</v>
      </c>
      <c r="C333" s="21" t="s">
        <v>1167</v>
      </c>
      <c r="D333" s="21" t="s">
        <v>1168</v>
      </c>
      <c r="E333" s="21" t="s">
        <v>63</v>
      </c>
      <c r="F333" s="21" t="s">
        <v>227</v>
      </c>
      <c r="G333" s="21" t="s">
        <v>118</v>
      </c>
      <c r="H333" s="21" t="s">
        <v>89</v>
      </c>
      <c r="I333" s="21" t="s">
        <v>76</v>
      </c>
      <c r="J333" s="32">
        <v>469814.95</v>
      </c>
      <c r="K333" s="21" t="s">
        <v>69</v>
      </c>
      <c r="L333" s="33">
        <v>45131</v>
      </c>
      <c r="M333" s="21" t="s">
        <v>81</v>
      </c>
      <c r="N333" s="32">
        <v>1904176.83</v>
      </c>
      <c r="O333" s="21" t="s">
        <v>150</v>
      </c>
      <c r="P333" s="21" t="str">
        <f t="shared" si="30"/>
        <v>2023-07</v>
      </c>
      <c r="Q333" s="21">
        <f t="shared" si="31"/>
        <v>2023</v>
      </c>
      <c r="R333" s="34">
        <f t="shared" si="32"/>
        <v>45108</v>
      </c>
      <c r="S333" s="21">
        <f t="shared" si="33"/>
        <v>0</v>
      </c>
      <c r="T333" s="21" t="str">
        <f t="shared" si="34"/>
        <v>Card-Based</v>
      </c>
      <c r="U333" s="21" t="str">
        <f t="shared" si="35"/>
        <v>One-Time</v>
      </c>
    </row>
    <row r="334" spans="1:21" x14ac:dyDescent="0.3">
      <c r="A334" s="21" t="s">
        <v>1169</v>
      </c>
      <c r="B334" s="21">
        <v>894517</v>
      </c>
      <c r="C334" s="21" t="s">
        <v>1170</v>
      </c>
      <c r="D334" s="21" t="s">
        <v>1171</v>
      </c>
      <c r="E334" s="21" t="s">
        <v>61</v>
      </c>
      <c r="F334" s="21" t="s">
        <v>364</v>
      </c>
      <c r="G334" s="21" t="s">
        <v>130</v>
      </c>
      <c r="H334" s="21" t="s">
        <v>88</v>
      </c>
      <c r="I334" s="21" t="s">
        <v>76</v>
      </c>
      <c r="J334" s="32">
        <v>202988.35</v>
      </c>
      <c r="K334" s="21" t="s">
        <v>71</v>
      </c>
      <c r="L334" s="33">
        <v>45268</v>
      </c>
      <c r="M334" s="21" t="s">
        <v>80</v>
      </c>
      <c r="N334" s="32">
        <v>1426448.54</v>
      </c>
      <c r="O334" s="21" t="s">
        <v>150</v>
      </c>
      <c r="P334" s="21" t="str">
        <f t="shared" si="30"/>
        <v>2023-12</v>
      </c>
      <c r="Q334" s="21">
        <f t="shared" si="31"/>
        <v>2023</v>
      </c>
      <c r="R334" s="34">
        <f t="shared" si="32"/>
        <v>45261</v>
      </c>
      <c r="S334" s="21">
        <f t="shared" si="33"/>
        <v>0</v>
      </c>
      <c r="T334" s="21" t="str">
        <f t="shared" si="34"/>
        <v>Digital</v>
      </c>
      <c r="U334" s="21" t="str">
        <f t="shared" si="35"/>
        <v>One-Time</v>
      </c>
    </row>
    <row r="335" spans="1:21" x14ac:dyDescent="0.3">
      <c r="A335" s="21" t="s">
        <v>1172</v>
      </c>
      <c r="B335" s="21">
        <v>179518</v>
      </c>
      <c r="C335" s="21" t="s">
        <v>1173</v>
      </c>
      <c r="D335" s="21" t="s">
        <v>1174</v>
      </c>
      <c r="E335" s="21" t="s">
        <v>64</v>
      </c>
      <c r="F335" s="21" t="s">
        <v>177</v>
      </c>
      <c r="G335" s="21" t="s">
        <v>113</v>
      </c>
      <c r="H335" s="21" t="s">
        <v>89</v>
      </c>
      <c r="I335" s="21" t="s">
        <v>77</v>
      </c>
      <c r="J335" s="32">
        <v>68829.84</v>
      </c>
      <c r="K335" s="21" t="s">
        <v>70</v>
      </c>
      <c r="L335" s="33">
        <v>45705</v>
      </c>
      <c r="M335" s="21" t="s">
        <v>80</v>
      </c>
      <c r="N335" s="32">
        <v>5539.54000000001</v>
      </c>
      <c r="O335" s="21" t="s">
        <v>150</v>
      </c>
      <c r="P335" s="21" t="str">
        <f t="shared" si="30"/>
        <v>2025-02</v>
      </c>
      <c r="Q335" s="21">
        <f t="shared" si="31"/>
        <v>2025</v>
      </c>
      <c r="R335" s="34">
        <f t="shared" si="32"/>
        <v>45689</v>
      </c>
      <c r="S335" s="21">
        <f t="shared" si="33"/>
        <v>0</v>
      </c>
      <c r="T335" s="21" t="str">
        <f t="shared" si="34"/>
        <v>Card-Based</v>
      </c>
      <c r="U335" s="21" t="str">
        <f t="shared" si="35"/>
        <v>One-Time</v>
      </c>
    </row>
    <row r="336" spans="1:21" x14ac:dyDescent="0.3">
      <c r="A336" s="21" t="s">
        <v>1175</v>
      </c>
      <c r="B336" s="21">
        <v>224498</v>
      </c>
      <c r="C336" s="21" t="s">
        <v>1176</v>
      </c>
      <c r="D336" s="21" t="s">
        <v>1177</v>
      </c>
      <c r="E336" s="21" t="s">
        <v>61</v>
      </c>
      <c r="F336" s="21" t="s">
        <v>154</v>
      </c>
      <c r="G336" s="21" t="s">
        <v>122</v>
      </c>
      <c r="H336" s="21" t="s">
        <v>87</v>
      </c>
      <c r="I336" s="21" t="s">
        <v>78</v>
      </c>
      <c r="J336" s="32">
        <v>276312.31</v>
      </c>
      <c r="K336" s="21" t="s">
        <v>71</v>
      </c>
      <c r="L336" s="33">
        <v>45644</v>
      </c>
      <c r="M336" s="21" t="s">
        <v>80</v>
      </c>
      <c r="N336" s="32">
        <v>696392.17</v>
      </c>
      <c r="O336" s="21" t="s">
        <v>150</v>
      </c>
      <c r="P336" s="21" t="str">
        <f t="shared" si="30"/>
        <v>2024-12</v>
      </c>
      <c r="Q336" s="21">
        <f t="shared" si="31"/>
        <v>2024</v>
      </c>
      <c r="R336" s="34">
        <f t="shared" si="32"/>
        <v>45627</v>
      </c>
      <c r="S336" s="21">
        <f t="shared" si="33"/>
        <v>0</v>
      </c>
      <c r="T336" s="21" t="str">
        <f t="shared" si="34"/>
        <v>Digital</v>
      </c>
      <c r="U336" s="21" t="str">
        <f t="shared" si="35"/>
        <v>One-Time</v>
      </c>
    </row>
    <row r="337" spans="1:21" x14ac:dyDescent="0.3">
      <c r="A337" s="21" t="s">
        <v>1178</v>
      </c>
      <c r="B337" s="21">
        <v>373993</v>
      </c>
      <c r="C337" s="21" t="s">
        <v>1179</v>
      </c>
      <c r="D337" s="21" t="s">
        <v>1180</v>
      </c>
      <c r="E337" s="21" t="s">
        <v>63</v>
      </c>
      <c r="F337" s="21" t="s">
        <v>227</v>
      </c>
      <c r="G337" s="21" t="s">
        <v>118</v>
      </c>
      <c r="H337" s="21" t="s">
        <v>89</v>
      </c>
      <c r="I337" s="21" t="s">
        <v>77</v>
      </c>
      <c r="J337" s="32">
        <v>7769.1</v>
      </c>
      <c r="K337" s="21" t="s">
        <v>70</v>
      </c>
      <c r="L337" s="33">
        <v>45686</v>
      </c>
      <c r="M337" s="21" t="s">
        <v>80</v>
      </c>
      <c r="N337" s="32">
        <v>89554.58</v>
      </c>
      <c r="O337" s="21" t="s">
        <v>150</v>
      </c>
      <c r="P337" s="21" t="str">
        <f t="shared" si="30"/>
        <v>2025-01</v>
      </c>
      <c r="Q337" s="21">
        <f t="shared" si="31"/>
        <v>2025</v>
      </c>
      <c r="R337" s="34">
        <f t="shared" si="32"/>
        <v>45658</v>
      </c>
      <c r="S337" s="21">
        <f t="shared" si="33"/>
        <v>0</v>
      </c>
      <c r="T337" s="21" t="str">
        <f t="shared" si="34"/>
        <v>Card-Based</v>
      </c>
      <c r="U337" s="21" t="str">
        <f t="shared" si="35"/>
        <v>One-Time</v>
      </c>
    </row>
    <row r="338" spans="1:21" x14ac:dyDescent="0.3">
      <c r="A338" s="21" t="s">
        <v>1181</v>
      </c>
      <c r="B338" s="21">
        <v>445390</v>
      </c>
      <c r="C338" s="21" t="s">
        <v>1182</v>
      </c>
      <c r="D338" s="21" t="s">
        <v>1183</v>
      </c>
      <c r="E338" s="21" t="s">
        <v>62</v>
      </c>
      <c r="F338" s="21" t="s">
        <v>310</v>
      </c>
      <c r="G338" s="21" t="s">
        <v>110</v>
      </c>
      <c r="H338" s="21" t="s">
        <v>88</v>
      </c>
      <c r="I338" s="21" t="s">
        <v>78</v>
      </c>
      <c r="J338" s="32">
        <v>496927.6</v>
      </c>
      <c r="K338" s="21" t="s">
        <v>72</v>
      </c>
      <c r="L338" s="33">
        <v>45818</v>
      </c>
      <c r="M338" s="21" t="s">
        <v>80</v>
      </c>
      <c r="N338" s="32">
        <v>1643914.5</v>
      </c>
      <c r="O338" s="21" t="s">
        <v>150</v>
      </c>
      <c r="P338" s="21" t="str">
        <f t="shared" si="30"/>
        <v>2025-06</v>
      </c>
      <c r="Q338" s="21">
        <f t="shared" si="31"/>
        <v>2025</v>
      </c>
      <c r="R338" s="34">
        <f t="shared" si="32"/>
        <v>45809</v>
      </c>
      <c r="S338" s="21">
        <f t="shared" si="33"/>
        <v>0</v>
      </c>
      <c r="T338" s="21" t="str">
        <f t="shared" si="34"/>
        <v>Cash-Based</v>
      </c>
      <c r="U338" s="21" t="str">
        <f t="shared" si="35"/>
        <v>One-Time</v>
      </c>
    </row>
    <row r="339" spans="1:21" x14ac:dyDescent="0.3">
      <c r="A339" s="21" t="s">
        <v>1184</v>
      </c>
      <c r="B339" s="21">
        <v>392598</v>
      </c>
      <c r="C339" s="21" t="s">
        <v>1185</v>
      </c>
      <c r="D339" s="21" t="s">
        <v>1186</v>
      </c>
      <c r="E339" s="21" t="s">
        <v>63</v>
      </c>
      <c r="F339" s="21" t="s">
        <v>227</v>
      </c>
      <c r="G339" s="21" t="s">
        <v>118</v>
      </c>
      <c r="H339" s="21" t="s">
        <v>88</v>
      </c>
      <c r="I339" s="21" t="s">
        <v>77</v>
      </c>
      <c r="J339" s="32">
        <v>26907.46</v>
      </c>
      <c r="K339" s="21" t="s">
        <v>72</v>
      </c>
      <c r="L339" s="33">
        <v>45679</v>
      </c>
      <c r="M339" s="21" t="s">
        <v>80</v>
      </c>
      <c r="N339" s="32">
        <v>1359303.82</v>
      </c>
      <c r="O339" s="21" t="s">
        <v>150</v>
      </c>
      <c r="P339" s="21" t="str">
        <f t="shared" si="30"/>
        <v>2025-01</v>
      </c>
      <c r="Q339" s="21">
        <f t="shared" si="31"/>
        <v>2025</v>
      </c>
      <c r="R339" s="34">
        <f t="shared" si="32"/>
        <v>45658</v>
      </c>
      <c r="S339" s="21">
        <f t="shared" si="33"/>
        <v>0</v>
      </c>
      <c r="T339" s="21" t="str">
        <f t="shared" si="34"/>
        <v>Cash-Based</v>
      </c>
      <c r="U339" s="21" t="str">
        <f t="shared" si="35"/>
        <v>One-Time</v>
      </c>
    </row>
    <row r="340" spans="1:21" x14ac:dyDescent="0.3">
      <c r="A340" s="21" t="s">
        <v>1187</v>
      </c>
      <c r="B340" s="21">
        <v>627322</v>
      </c>
      <c r="C340" s="21" t="s">
        <v>1188</v>
      </c>
      <c r="D340" s="21" t="s">
        <v>1189</v>
      </c>
      <c r="E340" s="21" t="s">
        <v>63</v>
      </c>
      <c r="F340" s="21" t="s">
        <v>293</v>
      </c>
      <c r="G340" s="21" t="s">
        <v>126</v>
      </c>
      <c r="H340" s="21" t="s">
        <v>89</v>
      </c>
      <c r="I340" s="21" t="s">
        <v>76</v>
      </c>
      <c r="J340" s="32">
        <v>381840.68</v>
      </c>
      <c r="K340" s="21" t="s">
        <v>69</v>
      </c>
      <c r="L340" s="33">
        <v>45548</v>
      </c>
      <c r="M340" s="21" t="s">
        <v>81</v>
      </c>
      <c r="N340" s="32">
        <v>1996331.03</v>
      </c>
      <c r="O340" s="21" t="s">
        <v>150</v>
      </c>
      <c r="P340" s="21" t="str">
        <f t="shared" si="30"/>
        <v>2024-09</v>
      </c>
      <c r="Q340" s="21">
        <f t="shared" si="31"/>
        <v>2024</v>
      </c>
      <c r="R340" s="34">
        <f t="shared" si="32"/>
        <v>45536</v>
      </c>
      <c r="S340" s="21">
        <f t="shared" si="33"/>
        <v>0</v>
      </c>
      <c r="T340" s="21" t="str">
        <f t="shared" si="34"/>
        <v>Card-Based</v>
      </c>
      <c r="U340" s="21" t="str">
        <f t="shared" si="35"/>
        <v>One-Time</v>
      </c>
    </row>
    <row r="341" spans="1:21" x14ac:dyDescent="0.3">
      <c r="A341" s="21" t="s">
        <v>1190</v>
      </c>
      <c r="B341" s="21">
        <v>674507</v>
      </c>
      <c r="C341" s="21" t="s">
        <v>1191</v>
      </c>
      <c r="D341" s="21" t="s">
        <v>1192</v>
      </c>
      <c r="E341" s="21" t="s">
        <v>64</v>
      </c>
      <c r="F341" s="21" t="s">
        <v>188</v>
      </c>
      <c r="G341" s="21" t="s">
        <v>112</v>
      </c>
      <c r="H341" s="21" t="s">
        <v>86</v>
      </c>
      <c r="I341" s="21" t="s">
        <v>75</v>
      </c>
      <c r="J341" s="32">
        <v>123684.75</v>
      </c>
      <c r="K341" s="21" t="s">
        <v>68</v>
      </c>
      <c r="L341" s="33">
        <v>45376</v>
      </c>
      <c r="M341" s="21" t="s">
        <v>80</v>
      </c>
      <c r="N341" s="32">
        <v>355220.47999999998</v>
      </c>
      <c r="O341" s="21" t="s">
        <v>150</v>
      </c>
      <c r="P341" s="21" t="str">
        <f t="shared" si="30"/>
        <v>2024-03</v>
      </c>
      <c r="Q341" s="21">
        <f t="shared" si="31"/>
        <v>2024</v>
      </c>
      <c r="R341" s="34">
        <f t="shared" si="32"/>
        <v>45352</v>
      </c>
      <c r="S341" s="21">
        <f t="shared" si="33"/>
        <v>0</v>
      </c>
      <c r="T341" s="21" t="str">
        <f t="shared" si="34"/>
        <v>Digital</v>
      </c>
      <c r="U341" s="21" t="str">
        <f t="shared" si="35"/>
        <v>One-Time</v>
      </c>
    </row>
    <row r="342" spans="1:21" x14ac:dyDescent="0.3">
      <c r="A342" s="21" t="s">
        <v>1193</v>
      </c>
      <c r="B342" s="21">
        <v>572980</v>
      </c>
      <c r="C342" s="21" t="s">
        <v>1194</v>
      </c>
      <c r="D342" s="21" t="s">
        <v>1195</v>
      </c>
      <c r="E342" s="21" t="s">
        <v>62</v>
      </c>
      <c r="F342" s="21" t="s">
        <v>297</v>
      </c>
      <c r="G342" s="21" t="s">
        <v>111</v>
      </c>
      <c r="H342" s="21" t="s">
        <v>86</v>
      </c>
      <c r="I342" s="21" t="s">
        <v>75</v>
      </c>
      <c r="J342" s="32">
        <v>78611.759999999995</v>
      </c>
      <c r="K342" s="21" t="s">
        <v>68</v>
      </c>
      <c r="L342" s="33">
        <v>45401</v>
      </c>
      <c r="M342" s="21" t="s">
        <v>82</v>
      </c>
      <c r="N342" s="32">
        <v>1631486.44</v>
      </c>
      <c r="O342" s="21" t="s">
        <v>150</v>
      </c>
      <c r="P342" s="21" t="str">
        <f t="shared" si="30"/>
        <v>2024-04</v>
      </c>
      <c r="Q342" s="21">
        <f t="shared" si="31"/>
        <v>2024</v>
      </c>
      <c r="R342" s="34">
        <f t="shared" si="32"/>
        <v>45383</v>
      </c>
      <c r="S342" s="21">
        <f t="shared" si="33"/>
        <v>0</v>
      </c>
      <c r="T342" s="21" t="str">
        <f t="shared" si="34"/>
        <v>Digital</v>
      </c>
      <c r="U342" s="21" t="str">
        <f t="shared" si="35"/>
        <v>One-Time</v>
      </c>
    </row>
    <row r="343" spans="1:21" x14ac:dyDescent="0.3">
      <c r="A343" s="21" t="s">
        <v>1196</v>
      </c>
      <c r="B343" s="21">
        <v>364377</v>
      </c>
      <c r="C343" s="21" t="s">
        <v>1197</v>
      </c>
      <c r="D343" s="21" t="s">
        <v>1198</v>
      </c>
      <c r="E343" s="21" t="s">
        <v>61</v>
      </c>
      <c r="F343" s="21" t="s">
        <v>195</v>
      </c>
      <c r="G343" s="21" t="s">
        <v>116</v>
      </c>
      <c r="H343" s="21" t="s">
        <v>87</v>
      </c>
      <c r="I343" s="21" t="s">
        <v>77</v>
      </c>
      <c r="J343" s="32">
        <v>121347.74</v>
      </c>
      <c r="K343" s="21" t="s">
        <v>69</v>
      </c>
      <c r="L343" s="33">
        <v>45680</v>
      </c>
      <c r="M343" s="21" t="s">
        <v>82</v>
      </c>
      <c r="N343" s="32">
        <v>108426.39</v>
      </c>
      <c r="O343" s="21" t="s">
        <v>150</v>
      </c>
      <c r="P343" s="21" t="str">
        <f t="shared" si="30"/>
        <v>2025-01</v>
      </c>
      <c r="Q343" s="21">
        <f t="shared" si="31"/>
        <v>2025</v>
      </c>
      <c r="R343" s="34">
        <f t="shared" si="32"/>
        <v>45658</v>
      </c>
      <c r="S343" s="21">
        <f t="shared" si="33"/>
        <v>0</v>
      </c>
      <c r="T343" s="21" t="str">
        <f t="shared" si="34"/>
        <v>Card-Based</v>
      </c>
      <c r="U343" s="21" t="str">
        <f t="shared" si="35"/>
        <v>One-Time</v>
      </c>
    </row>
    <row r="344" spans="1:21" x14ac:dyDescent="0.3">
      <c r="A344" s="21" t="s">
        <v>1199</v>
      </c>
      <c r="B344" s="21">
        <v>989898</v>
      </c>
      <c r="C344" s="21" t="s">
        <v>1200</v>
      </c>
      <c r="D344" s="21" t="s">
        <v>1201</v>
      </c>
      <c r="E344" s="21" t="s">
        <v>61</v>
      </c>
      <c r="F344" s="21" t="s">
        <v>330</v>
      </c>
      <c r="G344" s="21" t="s">
        <v>121</v>
      </c>
      <c r="H344" s="21" t="s">
        <v>88</v>
      </c>
      <c r="I344" s="21" t="s">
        <v>77</v>
      </c>
      <c r="J344" s="32">
        <v>51703.81</v>
      </c>
      <c r="K344" s="21" t="s">
        <v>69</v>
      </c>
      <c r="L344" s="33">
        <v>45593</v>
      </c>
      <c r="M344" s="21" t="s">
        <v>80</v>
      </c>
      <c r="N344" s="32">
        <v>641168.51</v>
      </c>
      <c r="O344" s="21" t="s">
        <v>150</v>
      </c>
      <c r="P344" s="21" t="str">
        <f t="shared" si="30"/>
        <v>2024-10</v>
      </c>
      <c r="Q344" s="21">
        <f t="shared" si="31"/>
        <v>2024</v>
      </c>
      <c r="R344" s="34">
        <f t="shared" si="32"/>
        <v>45566</v>
      </c>
      <c r="S344" s="21">
        <f t="shared" si="33"/>
        <v>0</v>
      </c>
      <c r="T344" s="21" t="str">
        <f t="shared" si="34"/>
        <v>Card-Based</v>
      </c>
      <c r="U344" s="21" t="str">
        <f t="shared" si="35"/>
        <v>One-Time</v>
      </c>
    </row>
    <row r="345" spans="1:21" x14ac:dyDescent="0.3">
      <c r="A345" s="21" t="s">
        <v>1202</v>
      </c>
      <c r="B345" s="21">
        <v>390792</v>
      </c>
      <c r="C345" s="21" t="s">
        <v>1203</v>
      </c>
      <c r="D345" s="21" t="s">
        <v>1204</v>
      </c>
      <c r="E345" s="21" t="s">
        <v>60</v>
      </c>
      <c r="F345" s="21" t="s">
        <v>166</v>
      </c>
      <c r="G345" s="21" t="s">
        <v>107</v>
      </c>
      <c r="H345" s="21" t="s">
        <v>89</v>
      </c>
      <c r="I345" s="21" t="s">
        <v>75</v>
      </c>
      <c r="J345" s="32">
        <v>163533.1</v>
      </c>
      <c r="K345" s="21" t="s">
        <v>69</v>
      </c>
      <c r="L345" s="33">
        <v>45679</v>
      </c>
      <c r="M345" s="21" t="s">
        <v>80</v>
      </c>
      <c r="N345" s="32">
        <v>1859589.9</v>
      </c>
      <c r="O345" s="21" t="s">
        <v>150</v>
      </c>
      <c r="P345" s="21" t="str">
        <f t="shared" si="30"/>
        <v>2025-01</v>
      </c>
      <c r="Q345" s="21">
        <f t="shared" si="31"/>
        <v>2025</v>
      </c>
      <c r="R345" s="34">
        <f t="shared" si="32"/>
        <v>45658</v>
      </c>
      <c r="S345" s="21">
        <f t="shared" si="33"/>
        <v>0</v>
      </c>
      <c r="T345" s="21" t="str">
        <f t="shared" si="34"/>
        <v>Card-Based</v>
      </c>
      <c r="U345" s="21" t="str">
        <f t="shared" si="35"/>
        <v>One-Time</v>
      </c>
    </row>
    <row r="346" spans="1:21" x14ac:dyDescent="0.3">
      <c r="A346" s="21" t="s">
        <v>1205</v>
      </c>
      <c r="B346" s="21">
        <v>409468</v>
      </c>
      <c r="C346" s="21" t="s">
        <v>1206</v>
      </c>
      <c r="D346" s="21" t="s">
        <v>1207</v>
      </c>
      <c r="E346" s="21" t="s">
        <v>61</v>
      </c>
      <c r="F346" s="21" t="s">
        <v>330</v>
      </c>
      <c r="G346" s="21" t="s">
        <v>121</v>
      </c>
      <c r="H346" s="21" t="s">
        <v>88</v>
      </c>
      <c r="I346" s="21" t="s">
        <v>75</v>
      </c>
      <c r="J346" s="32">
        <v>273026.71000000002</v>
      </c>
      <c r="K346" s="21" t="s">
        <v>68</v>
      </c>
      <c r="L346" s="33">
        <v>45473</v>
      </c>
      <c r="M346" s="21" t="s">
        <v>80</v>
      </c>
      <c r="N346" s="32">
        <v>639598.09</v>
      </c>
      <c r="O346" s="21" t="s">
        <v>150</v>
      </c>
      <c r="P346" s="21" t="str">
        <f t="shared" si="30"/>
        <v>2024-06</v>
      </c>
      <c r="Q346" s="21">
        <f t="shared" si="31"/>
        <v>2024</v>
      </c>
      <c r="R346" s="34">
        <f t="shared" si="32"/>
        <v>45444</v>
      </c>
      <c r="S346" s="21">
        <f t="shared" si="33"/>
        <v>0</v>
      </c>
      <c r="T346" s="21" t="str">
        <f t="shared" si="34"/>
        <v>Digital</v>
      </c>
      <c r="U346" s="21" t="str">
        <f t="shared" si="35"/>
        <v>One-Time</v>
      </c>
    </row>
    <row r="347" spans="1:21" x14ac:dyDescent="0.3">
      <c r="A347" s="21" t="s">
        <v>1208</v>
      </c>
      <c r="B347" s="21">
        <v>980642</v>
      </c>
      <c r="C347" s="21" t="s">
        <v>1209</v>
      </c>
      <c r="D347" s="21" t="s">
        <v>1210</v>
      </c>
      <c r="E347" s="21" t="s">
        <v>64</v>
      </c>
      <c r="F347" s="21" t="s">
        <v>158</v>
      </c>
      <c r="G347" s="21" t="s">
        <v>108</v>
      </c>
      <c r="H347" s="21" t="s">
        <v>86</v>
      </c>
      <c r="I347" s="21" t="s">
        <v>75</v>
      </c>
      <c r="J347" s="32">
        <v>7411.04</v>
      </c>
      <c r="K347" s="21" t="s">
        <v>69</v>
      </c>
      <c r="L347" s="33">
        <v>45156</v>
      </c>
      <c r="M347" s="21" t="s">
        <v>80</v>
      </c>
      <c r="N347" s="32">
        <v>1595355.14</v>
      </c>
      <c r="O347" s="21" t="s">
        <v>150</v>
      </c>
      <c r="P347" s="21" t="str">
        <f t="shared" si="30"/>
        <v>2023-08</v>
      </c>
      <c r="Q347" s="21">
        <f t="shared" si="31"/>
        <v>2023</v>
      </c>
      <c r="R347" s="34">
        <f t="shared" si="32"/>
        <v>45139</v>
      </c>
      <c r="S347" s="21">
        <f t="shared" si="33"/>
        <v>0</v>
      </c>
      <c r="T347" s="21" t="str">
        <f t="shared" si="34"/>
        <v>Card-Based</v>
      </c>
      <c r="U347" s="21" t="str">
        <f t="shared" si="35"/>
        <v>One-Time</v>
      </c>
    </row>
    <row r="348" spans="1:21" x14ac:dyDescent="0.3">
      <c r="A348" s="21" t="s">
        <v>1211</v>
      </c>
      <c r="B348" s="21">
        <v>547953</v>
      </c>
      <c r="C348" s="21" t="s">
        <v>1212</v>
      </c>
      <c r="D348" s="21" t="s">
        <v>1213</v>
      </c>
      <c r="E348" s="21" t="s">
        <v>61</v>
      </c>
      <c r="F348" s="21" t="s">
        <v>154</v>
      </c>
      <c r="G348" s="21" t="s">
        <v>122</v>
      </c>
      <c r="H348" s="21" t="s">
        <v>87</v>
      </c>
      <c r="I348" s="21" t="s">
        <v>77</v>
      </c>
      <c r="J348" s="32">
        <v>4390.57</v>
      </c>
      <c r="K348" s="21" t="s">
        <v>71</v>
      </c>
      <c r="L348" s="33">
        <v>45364</v>
      </c>
      <c r="M348" s="21" t="s">
        <v>80</v>
      </c>
      <c r="N348" s="32">
        <v>404938.51</v>
      </c>
      <c r="O348" s="21" t="s">
        <v>150</v>
      </c>
      <c r="P348" s="21" t="str">
        <f t="shared" si="30"/>
        <v>2024-03</v>
      </c>
      <c r="Q348" s="21">
        <f t="shared" si="31"/>
        <v>2024</v>
      </c>
      <c r="R348" s="34">
        <f t="shared" si="32"/>
        <v>45352</v>
      </c>
      <c r="S348" s="21">
        <f t="shared" si="33"/>
        <v>0</v>
      </c>
      <c r="T348" s="21" t="str">
        <f t="shared" si="34"/>
        <v>Digital</v>
      </c>
      <c r="U348" s="21" t="str">
        <f t="shared" si="35"/>
        <v>One-Time</v>
      </c>
    </row>
    <row r="349" spans="1:21" x14ac:dyDescent="0.3">
      <c r="A349" s="21" t="s">
        <v>1214</v>
      </c>
      <c r="B349" s="21">
        <v>740305</v>
      </c>
      <c r="C349" s="21" t="s">
        <v>1215</v>
      </c>
      <c r="D349" s="21" t="s">
        <v>1216</v>
      </c>
      <c r="E349" s="21" t="s">
        <v>61</v>
      </c>
      <c r="F349" s="21" t="s">
        <v>364</v>
      </c>
      <c r="G349" s="21" t="s">
        <v>130</v>
      </c>
      <c r="H349" s="21" t="s">
        <v>86</v>
      </c>
      <c r="I349" s="21" t="s">
        <v>76</v>
      </c>
      <c r="J349" s="32">
        <v>256573.7</v>
      </c>
      <c r="K349" s="21" t="s">
        <v>70</v>
      </c>
      <c r="L349" s="33">
        <v>45149</v>
      </c>
      <c r="M349" s="21" t="s">
        <v>82</v>
      </c>
      <c r="N349" s="32">
        <v>1215289.54</v>
      </c>
      <c r="O349" s="21" t="s">
        <v>150</v>
      </c>
      <c r="P349" s="21" t="str">
        <f t="shared" si="30"/>
        <v>2023-08</v>
      </c>
      <c r="Q349" s="21">
        <f t="shared" si="31"/>
        <v>2023</v>
      </c>
      <c r="R349" s="34">
        <f t="shared" si="32"/>
        <v>45139</v>
      </c>
      <c r="S349" s="21">
        <f t="shared" si="33"/>
        <v>0</v>
      </c>
      <c r="T349" s="21" t="str">
        <f t="shared" si="34"/>
        <v>Card-Based</v>
      </c>
      <c r="U349" s="21" t="str">
        <f t="shared" si="35"/>
        <v>One-Time</v>
      </c>
    </row>
    <row r="350" spans="1:21" x14ac:dyDescent="0.3">
      <c r="A350" s="21" t="s">
        <v>1217</v>
      </c>
      <c r="B350" s="21">
        <v>427894</v>
      </c>
      <c r="C350" s="21" t="s">
        <v>1218</v>
      </c>
      <c r="D350" s="21" t="s">
        <v>1219</v>
      </c>
      <c r="E350" s="21" t="s">
        <v>63</v>
      </c>
      <c r="F350" s="21" t="s">
        <v>227</v>
      </c>
      <c r="G350" s="21" t="s">
        <v>118</v>
      </c>
      <c r="H350" s="21" t="s">
        <v>87</v>
      </c>
      <c r="I350" s="21" t="s">
        <v>75</v>
      </c>
      <c r="J350" s="32">
        <v>192646.23</v>
      </c>
      <c r="K350" s="21" t="s">
        <v>72</v>
      </c>
      <c r="L350" s="33">
        <v>45703</v>
      </c>
      <c r="M350" s="21" t="s">
        <v>80</v>
      </c>
      <c r="N350" s="32">
        <v>1958117.95</v>
      </c>
      <c r="O350" s="21" t="s">
        <v>150</v>
      </c>
      <c r="P350" s="21" t="str">
        <f t="shared" si="30"/>
        <v>2025-02</v>
      </c>
      <c r="Q350" s="21">
        <f t="shared" si="31"/>
        <v>2025</v>
      </c>
      <c r="R350" s="34">
        <f t="shared" si="32"/>
        <v>45689</v>
      </c>
      <c r="S350" s="21">
        <f t="shared" si="33"/>
        <v>0</v>
      </c>
      <c r="T350" s="21" t="str">
        <f t="shared" si="34"/>
        <v>Cash-Based</v>
      </c>
      <c r="U350" s="21" t="str">
        <f t="shared" si="35"/>
        <v>One-Time</v>
      </c>
    </row>
    <row r="351" spans="1:21" x14ac:dyDescent="0.3">
      <c r="A351" s="21" t="s">
        <v>1220</v>
      </c>
      <c r="B351" s="21">
        <v>586706</v>
      </c>
      <c r="C351" s="21" t="s">
        <v>1221</v>
      </c>
      <c r="D351" s="21" t="s">
        <v>1222</v>
      </c>
      <c r="E351" s="21" t="s">
        <v>62</v>
      </c>
      <c r="F351" s="21" t="s">
        <v>297</v>
      </c>
      <c r="G351" s="21" t="s">
        <v>111</v>
      </c>
      <c r="H351" s="21" t="s">
        <v>89</v>
      </c>
      <c r="I351" s="21" t="s">
        <v>75</v>
      </c>
      <c r="J351" s="32">
        <v>245014.75</v>
      </c>
      <c r="K351" s="21" t="s">
        <v>69</v>
      </c>
      <c r="L351" s="33">
        <v>45321</v>
      </c>
      <c r="M351" s="21" t="s">
        <v>80</v>
      </c>
      <c r="N351" s="32">
        <v>1896528.53</v>
      </c>
      <c r="O351" s="21" t="s">
        <v>150</v>
      </c>
      <c r="P351" s="21" t="str">
        <f t="shared" si="30"/>
        <v>2024-01</v>
      </c>
      <c r="Q351" s="21">
        <f t="shared" si="31"/>
        <v>2024</v>
      </c>
      <c r="R351" s="34">
        <f t="shared" si="32"/>
        <v>45292</v>
      </c>
      <c r="S351" s="21">
        <f t="shared" si="33"/>
        <v>0</v>
      </c>
      <c r="T351" s="21" t="str">
        <f t="shared" si="34"/>
        <v>Card-Based</v>
      </c>
      <c r="U351" s="21" t="str">
        <f t="shared" si="35"/>
        <v>One-Time</v>
      </c>
    </row>
    <row r="352" spans="1:21" x14ac:dyDescent="0.3">
      <c r="A352" s="21" t="s">
        <v>1223</v>
      </c>
      <c r="B352" s="21">
        <v>684987</v>
      </c>
      <c r="C352" s="21" t="s">
        <v>1224</v>
      </c>
      <c r="D352" s="21" t="s">
        <v>1225</v>
      </c>
      <c r="E352" s="21" t="s">
        <v>62</v>
      </c>
      <c r="F352" s="21" t="s">
        <v>199</v>
      </c>
      <c r="G352" s="21" t="s">
        <v>120</v>
      </c>
      <c r="H352" s="21" t="s">
        <v>89</v>
      </c>
      <c r="I352" s="21" t="s">
        <v>76</v>
      </c>
      <c r="J352" s="32">
        <v>498754.84</v>
      </c>
      <c r="K352" s="21" t="s">
        <v>68</v>
      </c>
      <c r="L352" s="33">
        <v>45265</v>
      </c>
      <c r="M352" s="21" t="s">
        <v>80</v>
      </c>
      <c r="N352" s="32">
        <v>1284513.78</v>
      </c>
      <c r="O352" s="21" t="s">
        <v>150</v>
      </c>
      <c r="P352" s="21" t="str">
        <f t="shared" si="30"/>
        <v>2023-12</v>
      </c>
      <c r="Q352" s="21">
        <f t="shared" si="31"/>
        <v>2023</v>
      </c>
      <c r="R352" s="34">
        <f t="shared" si="32"/>
        <v>45261</v>
      </c>
      <c r="S352" s="21">
        <f t="shared" si="33"/>
        <v>0</v>
      </c>
      <c r="T352" s="21" t="str">
        <f t="shared" si="34"/>
        <v>Digital</v>
      </c>
      <c r="U352" s="21" t="str">
        <f t="shared" si="35"/>
        <v>One-Time</v>
      </c>
    </row>
    <row r="353" spans="1:21" x14ac:dyDescent="0.3">
      <c r="A353" s="21" t="s">
        <v>1226</v>
      </c>
      <c r="B353" s="21">
        <v>718664</v>
      </c>
      <c r="C353" s="21" t="s">
        <v>1227</v>
      </c>
      <c r="D353" s="21" t="s">
        <v>1228</v>
      </c>
      <c r="E353" s="21" t="s">
        <v>64</v>
      </c>
      <c r="F353" s="21" t="s">
        <v>162</v>
      </c>
      <c r="G353" s="21" t="s">
        <v>114</v>
      </c>
      <c r="H353" s="21" t="s">
        <v>89</v>
      </c>
      <c r="I353" s="21" t="s">
        <v>75</v>
      </c>
      <c r="J353" s="32">
        <v>223897.88</v>
      </c>
      <c r="K353" s="21" t="s">
        <v>68</v>
      </c>
      <c r="L353" s="33">
        <v>45418</v>
      </c>
      <c r="M353" s="21" t="s">
        <v>80</v>
      </c>
      <c r="N353" s="32">
        <v>1081271.3899999999</v>
      </c>
      <c r="O353" s="21" t="s">
        <v>150</v>
      </c>
      <c r="P353" s="21" t="str">
        <f t="shared" si="30"/>
        <v>2024-05</v>
      </c>
      <c r="Q353" s="21">
        <f t="shared" si="31"/>
        <v>2024</v>
      </c>
      <c r="R353" s="34">
        <f t="shared" si="32"/>
        <v>45413</v>
      </c>
      <c r="S353" s="21">
        <f t="shared" si="33"/>
        <v>0</v>
      </c>
      <c r="T353" s="21" t="str">
        <f t="shared" si="34"/>
        <v>Digital</v>
      </c>
      <c r="U353" s="21" t="str">
        <f t="shared" si="35"/>
        <v>One-Time</v>
      </c>
    </row>
    <row r="354" spans="1:21" x14ac:dyDescent="0.3">
      <c r="A354" s="21" t="s">
        <v>1229</v>
      </c>
      <c r="B354" s="21">
        <v>361462</v>
      </c>
      <c r="C354" s="21" t="s">
        <v>1230</v>
      </c>
      <c r="D354" s="21" t="s">
        <v>1231</v>
      </c>
      <c r="E354" s="21" t="s">
        <v>62</v>
      </c>
      <c r="F354" s="21" t="s">
        <v>297</v>
      </c>
      <c r="G354" s="21" t="s">
        <v>111</v>
      </c>
      <c r="H354" s="21" t="s">
        <v>88</v>
      </c>
      <c r="I354" s="21" t="s">
        <v>77</v>
      </c>
      <c r="J354" s="32">
        <v>133808.04</v>
      </c>
      <c r="K354" s="21" t="s">
        <v>70</v>
      </c>
      <c r="L354" s="33">
        <v>45618</v>
      </c>
      <c r="M354" s="21" t="s">
        <v>80</v>
      </c>
      <c r="N354" s="32">
        <v>1345738.11</v>
      </c>
      <c r="O354" s="21" t="s">
        <v>150</v>
      </c>
      <c r="P354" s="21" t="str">
        <f t="shared" si="30"/>
        <v>2024-11</v>
      </c>
      <c r="Q354" s="21">
        <f t="shared" si="31"/>
        <v>2024</v>
      </c>
      <c r="R354" s="34">
        <f t="shared" si="32"/>
        <v>45597</v>
      </c>
      <c r="S354" s="21">
        <f t="shared" si="33"/>
        <v>0</v>
      </c>
      <c r="T354" s="21" t="str">
        <f t="shared" si="34"/>
        <v>Card-Based</v>
      </c>
      <c r="U354" s="21" t="str">
        <f t="shared" si="35"/>
        <v>One-Time</v>
      </c>
    </row>
    <row r="355" spans="1:21" x14ac:dyDescent="0.3">
      <c r="A355" s="21" t="s">
        <v>1232</v>
      </c>
      <c r="B355" s="21">
        <v>633665</v>
      </c>
      <c r="C355" s="21" t="s">
        <v>1233</v>
      </c>
      <c r="D355" s="21" t="s">
        <v>1234</v>
      </c>
      <c r="E355" s="21" t="s">
        <v>64</v>
      </c>
      <c r="F355" s="21" t="s">
        <v>188</v>
      </c>
      <c r="G355" s="21" t="s">
        <v>112</v>
      </c>
      <c r="H355" s="21" t="s">
        <v>87</v>
      </c>
      <c r="I355" s="21" t="s">
        <v>77</v>
      </c>
      <c r="J355" s="32">
        <v>45421.34</v>
      </c>
      <c r="K355" s="21" t="s">
        <v>69</v>
      </c>
      <c r="L355" s="33">
        <v>45443</v>
      </c>
      <c r="M355" s="21" t="s">
        <v>80</v>
      </c>
      <c r="N355" s="32">
        <v>821237.76000000001</v>
      </c>
      <c r="O355" s="21" t="s">
        <v>150</v>
      </c>
      <c r="P355" s="21" t="str">
        <f t="shared" si="30"/>
        <v>2024-05</v>
      </c>
      <c r="Q355" s="21">
        <f t="shared" si="31"/>
        <v>2024</v>
      </c>
      <c r="R355" s="34">
        <f t="shared" si="32"/>
        <v>45413</v>
      </c>
      <c r="S355" s="21">
        <f t="shared" si="33"/>
        <v>0</v>
      </c>
      <c r="T355" s="21" t="str">
        <f t="shared" si="34"/>
        <v>Card-Based</v>
      </c>
      <c r="U355" s="21" t="str">
        <f t="shared" si="35"/>
        <v>One-Time</v>
      </c>
    </row>
    <row r="356" spans="1:21" x14ac:dyDescent="0.3">
      <c r="A356" s="21" t="s">
        <v>1235</v>
      </c>
      <c r="B356" s="21">
        <v>894189</v>
      </c>
      <c r="C356" s="21" t="s">
        <v>1236</v>
      </c>
      <c r="D356" s="21" t="s">
        <v>1237</v>
      </c>
      <c r="E356" s="21" t="s">
        <v>63</v>
      </c>
      <c r="F356" s="21" t="s">
        <v>227</v>
      </c>
      <c r="G356" s="21" t="s">
        <v>118</v>
      </c>
      <c r="H356" s="21" t="s">
        <v>88</v>
      </c>
      <c r="I356" s="21" t="s">
        <v>78</v>
      </c>
      <c r="J356" s="32">
        <v>172113.86</v>
      </c>
      <c r="K356" s="21" t="s">
        <v>69</v>
      </c>
      <c r="L356" s="33">
        <v>45129</v>
      </c>
      <c r="M356" s="21" t="s">
        <v>80</v>
      </c>
      <c r="N356" s="32">
        <v>896946.19</v>
      </c>
      <c r="O356" s="21" t="s">
        <v>150</v>
      </c>
      <c r="P356" s="21" t="str">
        <f t="shared" si="30"/>
        <v>2023-07</v>
      </c>
      <c r="Q356" s="21">
        <f t="shared" si="31"/>
        <v>2023</v>
      </c>
      <c r="R356" s="34">
        <f t="shared" si="32"/>
        <v>45108</v>
      </c>
      <c r="S356" s="21">
        <f t="shared" si="33"/>
        <v>0</v>
      </c>
      <c r="T356" s="21" t="str">
        <f t="shared" si="34"/>
        <v>Card-Based</v>
      </c>
      <c r="U356" s="21" t="str">
        <f t="shared" si="35"/>
        <v>One-Time</v>
      </c>
    </row>
    <row r="357" spans="1:21" x14ac:dyDescent="0.3">
      <c r="A357" s="21" t="s">
        <v>1238</v>
      </c>
      <c r="B357" s="21">
        <v>475202</v>
      </c>
      <c r="C357" s="21" t="s">
        <v>1239</v>
      </c>
      <c r="D357" s="21" t="s">
        <v>1240</v>
      </c>
      <c r="E357" s="21" t="s">
        <v>63</v>
      </c>
      <c r="F357" s="21" t="s">
        <v>293</v>
      </c>
      <c r="G357" s="21" t="s">
        <v>126</v>
      </c>
      <c r="H357" s="21" t="s">
        <v>88</v>
      </c>
      <c r="I357" s="21" t="s">
        <v>77</v>
      </c>
      <c r="J357" s="32">
        <v>78597.94</v>
      </c>
      <c r="K357" s="21" t="s">
        <v>68</v>
      </c>
      <c r="L357" s="33">
        <v>45714</v>
      </c>
      <c r="M357" s="21" t="s">
        <v>80</v>
      </c>
      <c r="N357" s="32">
        <v>1132144.31</v>
      </c>
      <c r="O357" s="21" t="s">
        <v>150</v>
      </c>
      <c r="P357" s="21" t="str">
        <f t="shared" si="30"/>
        <v>2025-02</v>
      </c>
      <c r="Q357" s="21">
        <f t="shared" si="31"/>
        <v>2025</v>
      </c>
      <c r="R357" s="34">
        <f t="shared" si="32"/>
        <v>45689</v>
      </c>
      <c r="S357" s="21">
        <f t="shared" si="33"/>
        <v>0</v>
      </c>
      <c r="T357" s="21" t="str">
        <f t="shared" si="34"/>
        <v>Digital</v>
      </c>
      <c r="U357" s="21" t="str">
        <f t="shared" si="35"/>
        <v>One-Time</v>
      </c>
    </row>
    <row r="358" spans="1:21" x14ac:dyDescent="0.3">
      <c r="A358" s="21" t="s">
        <v>1241</v>
      </c>
      <c r="B358" s="21">
        <v>853516</v>
      </c>
      <c r="C358" s="21" t="s">
        <v>1242</v>
      </c>
      <c r="D358" s="21" t="s">
        <v>1243</v>
      </c>
      <c r="E358" s="21" t="s">
        <v>64</v>
      </c>
      <c r="F358" s="21" t="s">
        <v>162</v>
      </c>
      <c r="G358" s="21" t="s">
        <v>114</v>
      </c>
      <c r="H358" s="21" t="s">
        <v>89</v>
      </c>
      <c r="I358" s="21" t="s">
        <v>75</v>
      </c>
      <c r="J358" s="32">
        <v>2034.23</v>
      </c>
      <c r="K358" s="21" t="s">
        <v>71</v>
      </c>
      <c r="L358" s="33">
        <v>45641</v>
      </c>
      <c r="M358" s="21" t="s">
        <v>81</v>
      </c>
      <c r="N358" s="32">
        <v>1179384.8799999999</v>
      </c>
      <c r="O358" s="21" t="s">
        <v>150</v>
      </c>
      <c r="P358" s="21" t="str">
        <f t="shared" si="30"/>
        <v>2024-12</v>
      </c>
      <c r="Q358" s="21">
        <f t="shared" si="31"/>
        <v>2024</v>
      </c>
      <c r="R358" s="34">
        <f t="shared" si="32"/>
        <v>45627</v>
      </c>
      <c r="S358" s="21">
        <f t="shared" si="33"/>
        <v>0</v>
      </c>
      <c r="T358" s="21" t="str">
        <f t="shared" si="34"/>
        <v>Digital</v>
      </c>
      <c r="U358" s="21" t="str">
        <f t="shared" si="35"/>
        <v>One-Time</v>
      </c>
    </row>
    <row r="359" spans="1:21" x14ac:dyDescent="0.3">
      <c r="A359" s="21" t="s">
        <v>1244</v>
      </c>
      <c r="B359" s="21">
        <v>150512</v>
      </c>
      <c r="C359" s="21" t="s">
        <v>1245</v>
      </c>
      <c r="D359" s="21" t="s">
        <v>1246</v>
      </c>
      <c r="E359" s="21" t="s">
        <v>62</v>
      </c>
      <c r="F359" s="21" t="s">
        <v>275</v>
      </c>
      <c r="G359" s="21" t="s">
        <v>109</v>
      </c>
      <c r="H359" s="21" t="s">
        <v>87</v>
      </c>
      <c r="I359" s="21" t="s">
        <v>77</v>
      </c>
      <c r="J359" s="32">
        <v>145852.56</v>
      </c>
      <c r="K359" s="21" t="s">
        <v>68</v>
      </c>
      <c r="L359" s="33">
        <v>45649</v>
      </c>
      <c r="M359" s="21" t="s">
        <v>80</v>
      </c>
      <c r="N359" s="32">
        <v>1802050.86</v>
      </c>
      <c r="O359" s="21" t="s">
        <v>150</v>
      </c>
      <c r="P359" s="21" t="str">
        <f t="shared" si="30"/>
        <v>2024-12</v>
      </c>
      <c r="Q359" s="21">
        <f t="shared" si="31"/>
        <v>2024</v>
      </c>
      <c r="R359" s="34">
        <f t="shared" si="32"/>
        <v>45627</v>
      </c>
      <c r="S359" s="21">
        <f t="shared" si="33"/>
        <v>0</v>
      </c>
      <c r="T359" s="21" t="str">
        <f t="shared" si="34"/>
        <v>Digital</v>
      </c>
      <c r="U359" s="21" t="str">
        <f t="shared" si="35"/>
        <v>One-Time</v>
      </c>
    </row>
    <row r="360" spans="1:21" x14ac:dyDescent="0.3">
      <c r="A360" s="21" t="s">
        <v>1247</v>
      </c>
      <c r="B360" s="21">
        <v>114174</v>
      </c>
      <c r="C360" s="21" t="s">
        <v>1248</v>
      </c>
      <c r="D360" s="21" t="s">
        <v>1249</v>
      </c>
      <c r="E360" s="21" t="s">
        <v>62</v>
      </c>
      <c r="F360" s="21" t="s">
        <v>275</v>
      </c>
      <c r="G360" s="21" t="s">
        <v>109</v>
      </c>
      <c r="H360" s="21" t="s">
        <v>89</v>
      </c>
      <c r="I360" s="21" t="s">
        <v>78</v>
      </c>
      <c r="J360" s="32">
        <v>505150.86</v>
      </c>
      <c r="K360" s="21" t="s">
        <v>69</v>
      </c>
      <c r="L360" s="33">
        <v>45124</v>
      </c>
      <c r="M360" s="21" t="s">
        <v>80</v>
      </c>
      <c r="N360" s="32">
        <v>1521144.43</v>
      </c>
      <c r="O360" s="21" t="s">
        <v>150</v>
      </c>
      <c r="P360" s="21" t="str">
        <f t="shared" si="30"/>
        <v>2023-07</v>
      </c>
      <c r="Q360" s="21">
        <f t="shared" si="31"/>
        <v>2023</v>
      </c>
      <c r="R360" s="34">
        <f t="shared" si="32"/>
        <v>45108</v>
      </c>
      <c r="S360" s="21">
        <f t="shared" si="33"/>
        <v>0</v>
      </c>
      <c r="T360" s="21" t="str">
        <f t="shared" si="34"/>
        <v>Card-Based</v>
      </c>
      <c r="U360" s="21" t="str">
        <f t="shared" si="35"/>
        <v>One-Time</v>
      </c>
    </row>
    <row r="361" spans="1:21" x14ac:dyDescent="0.3">
      <c r="A361" s="21" t="s">
        <v>1250</v>
      </c>
      <c r="B361" s="21">
        <v>815415</v>
      </c>
      <c r="C361" s="21" t="s">
        <v>1251</v>
      </c>
      <c r="D361" s="21" t="s">
        <v>1252</v>
      </c>
      <c r="E361" s="21" t="s">
        <v>61</v>
      </c>
      <c r="F361" s="21" t="s">
        <v>279</v>
      </c>
      <c r="G361" s="21" t="s">
        <v>125</v>
      </c>
      <c r="H361" s="21" t="s">
        <v>88</v>
      </c>
      <c r="I361" s="21" t="s">
        <v>75</v>
      </c>
      <c r="J361" s="32">
        <v>263485.11</v>
      </c>
      <c r="K361" s="21" t="s">
        <v>69</v>
      </c>
      <c r="L361" s="33">
        <v>45805</v>
      </c>
      <c r="M361" s="21" t="s">
        <v>80</v>
      </c>
      <c r="N361" s="32">
        <v>772198.29</v>
      </c>
      <c r="O361" s="21" t="s">
        <v>150</v>
      </c>
      <c r="P361" s="21" t="str">
        <f t="shared" si="30"/>
        <v>2025-05</v>
      </c>
      <c r="Q361" s="21">
        <f t="shared" si="31"/>
        <v>2025</v>
      </c>
      <c r="R361" s="34">
        <f t="shared" si="32"/>
        <v>45778</v>
      </c>
      <c r="S361" s="21">
        <f t="shared" si="33"/>
        <v>0</v>
      </c>
      <c r="T361" s="21" t="str">
        <f t="shared" si="34"/>
        <v>Card-Based</v>
      </c>
      <c r="U361" s="21" t="str">
        <f t="shared" si="35"/>
        <v>One-Time</v>
      </c>
    </row>
    <row r="362" spans="1:21" x14ac:dyDescent="0.3">
      <c r="A362" s="21" t="s">
        <v>1253</v>
      </c>
      <c r="B362" s="21">
        <v>332907</v>
      </c>
      <c r="C362" s="21" t="s">
        <v>1254</v>
      </c>
      <c r="D362" s="21" t="s">
        <v>1255</v>
      </c>
      <c r="E362" s="21" t="s">
        <v>60</v>
      </c>
      <c r="F362" s="21" t="s">
        <v>166</v>
      </c>
      <c r="G362" s="21" t="s">
        <v>107</v>
      </c>
      <c r="H362" s="21" t="s">
        <v>86</v>
      </c>
      <c r="I362" s="21" t="s">
        <v>76</v>
      </c>
      <c r="J362" s="32">
        <v>477061.46</v>
      </c>
      <c r="K362" s="21" t="s">
        <v>70</v>
      </c>
      <c r="L362" s="33">
        <v>45450</v>
      </c>
      <c r="M362" s="21" t="s">
        <v>80</v>
      </c>
      <c r="N362" s="32">
        <v>943250.81</v>
      </c>
      <c r="O362" s="21" t="s">
        <v>311</v>
      </c>
      <c r="P362" s="21" t="str">
        <f t="shared" si="30"/>
        <v>2024-06</v>
      </c>
      <c r="Q362" s="21">
        <f t="shared" si="31"/>
        <v>2024</v>
      </c>
      <c r="R362" s="34">
        <f t="shared" si="32"/>
        <v>45444</v>
      </c>
      <c r="S362" s="21">
        <f t="shared" si="33"/>
        <v>1</v>
      </c>
      <c r="T362" s="21" t="str">
        <f t="shared" si="34"/>
        <v>Card-Based</v>
      </c>
      <c r="U362" s="21" t="str">
        <f t="shared" si="35"/>
        <v>One-Time</v>
      </c>
    </row>
    <row r="363" spans="1:21" x14ac:dyDescent="0.3">
      <c r="A363" s="21" t="s">
        <v>1256</v>
      </c>
      <c r="B363" s="21">
        <v>888086</v>
      </c>
      <c r="C363" s="21" t="s">
        <v>1257</v>
      </c>
      <c r="D363" s="21" t="s">
        <v>1258</v>
      </c>
      <c r="E363" s="21" t="s">
        <v>60</v>
      </c>
      <c r="F363" s="21" t="s">
        <v>149</v>
      </c>
      <c r="G363" s="21" t="s">
        <v>119</v>
      </c>
      <c r="H363" s="21" t="s">
        <v>88</v>
      </c>
      <c r="I363" s="21" t="s">
        <v>77</v>
      </c>
      <c r="J363" s="32">
        <v>89540.74</v>
      </c>
      <c r="K363" s="21" t="s">
        <v>68</v>
      </c>
      <c r="L363" s="33">
        <v>45727</v>
      </c>
      <c r="M363" s="21" t="s">
        <v>80</v>
      </c>
      <c r="N363" s="32">
        <v>1430531.1</v>
      </c>
      <c r="O363" s="21" t="s">
        <v>150</v>
      </c>
      <c r="P363" s="21" t="str">
        <f t="shared" si="30"/>
        <v>2025-03</v>
      </c>
      <c r="Q363" s="21">
        <f t="shared" si="31"/>
        <v>2025</v>
      </c>
      <c r="R363" s="34">
        <f t="shared" si="32"/>
        <v>45717</v>
      </c>
      <c r="S363" s="21">
        <f t="shared" si="33"/>
        <v>0</v>
      </c>
      <c r="T363" s="21" t="str">
        <f t="shared" si="34"/>
        <v>Digital</v>
      </c>
      <c r="U363" s="21" t="str">
        <f t="shared" si="35"/>
        <v>One-Time</v>
      </c>
    </row>
    <row r="364" spans="1:21" x14ac:dyDescent="0.3">
      <c r="A364" s="21" t="s">
        <v>1259</v>
      </c>
      <c r="B364" s="21">
        <v>344715</v>
      </c>
      <c r="C364" s="21" t="s">
        <v>1260</v>
      </c>
      <c r="D364" s="21" t="s">
        <v>1261</v>
      </c>
      <c r="E364" s="21" t="s">
        <v>63</v>
      </c>
      <c r="F364" s="21" t="s">
        <v>293</v>
      </c>
      <c r="G364" s="21" t="s">
        <v>126</v>
      </c>
      <c r="H364" s="21" t="s">
        <v>86</v>
      </c>
      <c r="I364" s="21" t="s">
        <v>78</v>
      </c>
      <c r="J364" s="32">
        <v>377204.37</v>
      </c>
      <c r="K364" s="21" t="s">
        <v>71</v>
      </c>
      <c r="L364" s="33">
        <v>45524</v>
      </c>
      <c r="M364" s="21" t="s">
        <v>80</v>
      </c>
      <c r="N364" s="32">
        <v>1214932.99</v>
      </c>
      <c r="O364" s="21" t="s">
        <v>150</v>
      </c>
      <c r="P364" s="21" t="str">
        <f t="shared" si="30"/>
        <v>2024-08</v>
      </c>
      <c r="Q364" s="21">
        <f t="shared" si="31"/>
        <v>2024</v>
      </c>
      <c r="R364" s="34">
        <f t="shared" si="32"/>
        <v>45505</v>
      </c>
      <c r="S364" s="21">
        <f t="shared" si="33"/>
        <v>0</v>
      </c>
      <c r="T364" s="21" t="str">
        <f t="shared" si="34"/>
        <v>Digital</v>
      </c>
      <c r="U364" s="21" t="str">
        <f t="shared" si="35"/>
        <v>One-Time</v>
      </c>
    </row>
    <row r="365" spans="1:21" x14ac:dyDescent="0.3">
      <c r="A365" s="21" t="s">
        <v>1262</v>
      </c>
      <c r="B365" s="21">
        <v>475616</v>
      </c>
      <c r="C365" s="21" t="s">
        <v>1263</v>
      </c>
      <c r="D365" s="21" t="s">
        <v>1264</v>
      </c>
      <c r="E365" s="21" t="s">
        <v>62</v>
      </c>
      <c r="F365" s="21" t="s">
        <v>310</v>
      </c>
      <c r="G365" s="21" t="s">
        <v>110</v>
      </c>
      <c r="H365" s="21" t="s">
        <v>88</v>
      </c>
      <c r="I365" s="21" t="s">
        <v>75</v>
      </c>
      <c r="J365" s="32">
        <v>5600</v>
      </c>
      <c r="K365" s="21" t="s">
        <v>69</v>
      </c>
      <c r="L365" s="33">
        <v>45804</v>
      </c>
      <c r="M365" s="21" t="s">
        <v>80</v>
      </c>
      <c r="N365" s="32">
        <v>341311.75</v>
      </c>
      <c r="O365" s="21" t="s">
        <v>150</v>
      </c>
      <c r="P365" s="21" t="str">
        <f t="shared" si="30"/>
        <v>2025-05</v>
      </c>
      <c r="Q365" s="21">
        <f t="shared" si="31"/>
        <v>2025</v>
      </c>
      <c r="R365" s="34">
        <f t="shared" si="32"/>
        <v>45778</v>
      </c>
      <c r="S365" s="21">
        <f t="shared" si="33"/>
        <v>0</v>
      </c>
      <c r="T365" s="21" t="str">
        <f t="shared" si="34"/>
        <v>Card-Based</v>
      </c>
      <c r="U365" s="21" t="str">
        <f t="shared" si="35"/>
        <v>One-Time</v>
      </c>
    </row>
    <row r="366" spans="1:21" x14ac:dyDescent="0.3">
      <c r="A366" s="21" t="s">
        <v>1265</v>
      </c>
      <c r="B366" s="21">
        <v>219887</v>
      </c>
      <c r="C366" s="21" t="s">
        <v>1266</v>
      </c>
      <c r="D366" s="21" t="s">
        <v>1267</v>
      </c>
      <c r="E366" s="21" t="s">
        <v>63</v>
      </c>
      <c r="F366" s="21" t="s">
        <v>223</v>
      </c>
      <c r="G366" s="21" t="s">
        <v>129</v>
      </c>
      <c r="H366" s="21" t="s">
        <v>89</v>
      </c>
      <c r="I366" s="21" t="s">
        <v>75</v>
      </c>
      <c r="J366" s="32">
        <v>218817.69</v>
      </c>
      <c r="K366" s="21" t="s">
        <v>69</v>
      </c>
      <c r="L366" s="33">
        <v>45835</v>
      </c>
      <c r="M366" s="21" t="s">
        <v>81</v>
      </c>
      <c r="N366" s="32">
        <v>343750.94</v>
      </c>
      <c r="O366" s="21" t="s">
        <v>150</v>
      </c>
      <c r="P366" s="21" t="str">
        <f t="shared" si="30"/>
        <v>2025-06</v>
      </c>
      <c r="Q366" s="21">
        <f t="shared" si="31"/>
        <v>2025</v>
      </c>
      <c r="R366" s="34">
        <f t="shared" si="32"/>
        <v>45809</v>
      </c>
      <c r="S366" s="21">
        <f t="shared" si="33"/>
        <v>0</v>
      </c>
      <c r="T366" s="21" t="str">
        <f t="shared" si="34"/>
        <v>Card-Based</v>
      </c>
      <c r="U366" s="21" t="str">
        <f t="shared" si="35"/>
        <v>One-Time</v>
      </c>
    </row>
    <row r="367" spans="1:21" x14ac:dyDescent="0.3">
      <c r="A367" s="21" t="s">
        <v>1268</v>
      </c>
      <c r="B367" s="21">
        <v>374263</v>
      </c>
      <c r="C367" s="21" t="s">
        <v>1269</v>
      </c>
      <c r="D367" s="21" t="s">
        <v>1270</v>
      </c>
      <c r="E367" s="21" t="s">
        <v>63</v>
      </c>
      <c r="F367" s="21" t="s">
        <v>207</v>
      </c>
      <c r="G367" s="21" t="s">
        <v>127</v>
      </c>
      <c r="H367" s="21" t="s">
        <v>89</v>
      </c>
      <c r="I367" s="21" t="s">
        <v>76</v>
      </c>
      <c r="J367" s="32">
        <v>332941.88</v>
      </c>
      <c r="K367" s="21" t="s">
        <v>68</v>
      </c>
      <c r="L367" s="33">
        <v>45342</v>
      </c>
      <c r="M367" s="21" t="s">
        <v>80</v>
      </c>
      <c r="N367" s="32">
        <v>1594009.73</v>
      </c>
      <c r="O367" s="21" t="s">
        <v>150</v>
      </c>
      <c r="P367" s="21" t="str">
        <f t="shared" si="30"/>
        <v>2024-02</v>
      </c>
      <c r="Q367" s="21">
        <f t="shared" si="31"/>
        <v>2024</v>
      </c>
      <c r="R367" s="34">
        <f t="shared" si="32"/>
        <v>45323</v>
      </c>
      <c r="S367" s="21">
        <f t="shared" si="33"/>
        <v>0</v>
      </c>
      <c r="T367" s="21" t="str">
        <f t="shared" si="34"/>
        <v>Digital</v>
      </c>
      <c r="U367" s="21" t="str">
        <f t="shared" si="35"/>
        <v>One-Time</v>
      </c>
    </row>
    <row r="368" spans="1:21" x14ac:dyDescent="0.3">
      <c r="A368" s="21" t="s">
        <v>1271</v>
      </c>
      <c r="B368" s="21">
        <v>223924</v>
      </c>
      <c r="C368" s="21" t="s">
        <v>1272</v>
      </c>
      <c r="D368" s="21" t="s">
        <v>1273</v>
      </c>
      <c r="E368" s="21" t="s">
        <v>64</v>
      </c>
      <c r="F368" s="21" t="s">
        <v>158</v>
      </c>
      <c r="G368" s="21" t="s">
        <v>108</v>
      </c>
      <c r="H368" s="21" t="s">
        <v>87</v>
      </c>
      <c r="I368" s="21" t="s">
        <v>76</v>
      </c>
      <c r="J368" s="32">
        <v>103224.63</v>
      </c>
      <c r="K368" s="21" t="s">
        <v>68</v>
      </c>
      <c r="L368" s="33">
        <v>45119</v>
      </c>
      <c r="M368" s="21" t="s">
        <v>80</v>
      </c>
      <c r="N368" s="32">
        <v>770321.19</v>
      </c>
      <c r="O368" s="21" t="s">
        <v>150</v>
      </c>
      <c r="P368" s="21" t="str">
        <f t="shared" si="30"/>
        <v>2023-07</v>
      </c>
      <c r="Q368" s="21">
        <f t="shared" si="31"/>
        <v>2023</v>
      </c>
      <c r="R368" s="34">
        <f t="shared" si="32"/>
        <v>45108</v>
      </c>
      <c r="S368" s="21">
        <f t="shared" si="33"/>
        <v>0</v>
      </c>
      <c r="T368" s="21" t="str">
        <f t="shared" si="34"/>
        <v>Digital</v>
      </c>
      <c r="U368" s="21" t="str">
        <f t="shared" si="35"/>
        <v>One-Time</v>
      </c>
    </row>
    <row r="369" spans="1:21" x14ac:dyDescent="0.3">
      <c r="A369" s="21" t="s">
        <v>1274</v>
      </c>
      <c r="B369" s="21">
        <v>539350</v>
      </c>
      <c r="C369" s="21" t="s">
        <v>1275</v>
      </c>
      <c r="D369" s="21" t="s">
        <v>1276</v>
      </c>
      <c r="E369" s="21" t="s">
        <v>61</v>
      </c>
      <c r="F369" s="21" t="s">
        <v>330</v>
      </c>
      <c r="G369" s="21" t="s">
        <v>121</v>
      </c>
      <c r="H369" s="21" t="s">
        <v>89</v>
      </c>
      <c r="I369" s="21" t="s">
        <v>76</v>
      </c>
      <c r="J369" s="32">
        <v>82653.77</v>
      </c>
      <c r="K369" s="21" t="s">
        <v>69</v>
      </c>
      <c r="L369" s="33">
        <v>45819</v>
      </c>
      <c r="M369" s="21" t="s">
        <v>80</v>
      </c>
      <c r="N369" s="32">
        <v>1028818.01</v>
      </c>
      <c r="O369" s="21" t="s">
        <v>150</v>
      </c>
      <c r="P369" s="21" t="str">
        <f t="shared" si="30"/>
        <v>2025-06</v>
      </c>
      <c r="Q369" s="21">
        <f t="shared" si="31"/>
        <v>2025</v>
      </c>
      <c r="R369" s="34">
        <f t="shared" si="32"/>
        <v>45809</v>
      </c>
      <c r="S369" s="21">
        <f t="shared" si="33"/>
        <v>0</v>
      </c>
      <c r="T369" s="21" t="str">
        <f t="shared" si="34"/>
        <v>Card-Based</v>
      </c>
      <c r="U369" s="21" t="str">
        <f t="shared" si="35"/>
        <v>One-Time</v>
      </c>
    </row>
    <row r="370" spans="1:21" x14ac:dyDescent="0.3">
      <c r="A370" s="21" t="s">
        <v>1277</v>
      </c>
      <c r="B370" s="21">
        <v>405648</v>
      </c>
      <c r="C370" s="21" t="s">
        <v>1278</v>
      </c>
      <c r="D370" s="21" t="s">
        <v>1279</v>
      </c>
      <c r="E370" s="21" t="s">
        <v>60</v>
      </c>
      <c r="F370" s="21" t="s">
        <v>203</v>
      </c>
      <c r="G370" s="21" t="s">
        <v>128</v>
      </c>
      <c r="H370" s="21" t="s">
        <v>89</v>
      </c>
      <c r="I370" s="21" t="s">
        <v>77</v>
      </c>
      <c r="J370" s="32">
        <v>78021.990000000005</v>
      </c>
      <c r="K370" s="21" t="s">
        <v>71</v>
      </c>
      <c r="L370" s="33">
        <v>45312</v>
      </c>
      <c r="M370" s="21" t="s">
        <v>80</v>
      </c>
      <c r="N370" s="32">
        <v>370202.29</v>
      </c>
      <c r="O370" s="21" t="s">
        <v>150</v>
      </c>
      <c r="P370" s="21" t="str">
        <f t="shared" si="30"/>
        <v>2024-01</v>
      </c>
      <c r="Q370" s="21">
        <f t="shared" si="31"/>
        <v>2024</v>
      </c>
      <c r="R370" s="34">
        <f t="shared" si="32"/>
        <v>45292</v>
      </c>
      <c r="S370" s="21">
        <f t="shared" si="33"/>
        <v>0</v>
      </c>
      <c r="T370" s="21" t="str">
        <f t="shared" si="34"/>
        <v>Digital</v>
      </c>
      <c r="U370" s="21" t="str">
        <f t="shared" si="35"/>
        <v>One-Time</v>
      </c>
    </row>
    <row r="371" spans="1:21" x14ac:dyDescent="0.3">
      <c r="A371" s="21" t="s">
        <v>1280</v>
      </c>
      <c r="B371" s="21">
        <v>479949</v>
      </c>
      <c r="C371" s="21" t="s">
        <v>1281</v>
      </c>
      <c r="D371" s="21" t="s">
        <v>1282</v>
      </c>
      <c r="E371" s="21" t="s">
        <v>61</v>
      </c>
      <c r="F371" s="21" t="s">
        <v>330</v>
      </c>
      <c r="G371" s="21" t="s">
        <v>121</v>
      </c>
      <c r="H371" s="21" t="s">
        <v>87</v>
      </c>
      <c r="I371" s="21" t="s">
        <v>77</v>
      </c>
      <c r="J371" s="32">
        <v>27892.53</v>
      </c>
      <c r="K371" s="21" t="s">
        <v>70</v>
      </c>
      <c r="L371" s="33">
        <v>45519</v>
      </c>
      <c r="M371" s="21" t="s">
        <v>80</v>
      </c>
      <c r="N371" s="32">
        <v>1226681.8400000001</v>
      </c>
      <c r="O371" s="21" t="s">
        <v>150</v>
      </c>
      <c r="P371" s="21" t="str">
        <f t="shared" si="30"/>
        <v>2024-08</v>
      </c>
      <c r="Q371" s="21">
        <f t="shared" si="31"/>
        <v>2024</v>
      </c>
      <c r="R371" s="34">
        <f t="shared" si="32"/>
        <v>45505</v>
      </c>
      <c r="S371" s="21">
        <f t="shared" si="33"/>
        <v>0</v>
      </c>
      <c r="T371" s="21" t="str">
        <f t="shared" si="34"/>
        <v>Card-Based</v>
      </c>
      <c r="U371" s="21" t="str">
        <f t="shared" si="35"/>
        <v>One-Time</v>
      </c>
    </row>
    <row r="372" spans="1:21" x14ac:dyDescent="0.3">
      <c r="A372" s="21" t="s">
        <v>1283</v>
      </c>
      <c r="B372" s="21">
        <v>387939</v>
      </c>
      <c r="C372" s="21" t="s">
        <v>1284</v>
      </c>
      <c r="D372" s="21" t="s">
        <v>1285</v>
      </c>
      <c r="E372" s="21" t="s">
        <v>61</v>
      </c>
      <c r="F372" s="21" t="s">
        <v>195</v>
      </c>
      <c r="G372" s="21" t="s">
        <v>116</v>
      </c>
      <c r="H372" s="21" t="s">
        <v>88</v>
      </c>
      <c r="I372" s="21" t="s">
        <v>77</v>
      </c>
      <c r="J372" s="32">
        <v>19862</v>
      </c>
      <c r="K372" s="21" t="s">
        <v>72</v>
      </c>
      <c r="L372" s="33">
        <v>45804</v>
      </c>
      <c r="M372" s="21" t="s">
        <v>83</v>
      </c>
      <c r="N372" s="32">
        <v>932608.28</v>
      </c>
      <c r="O372" s="21" t="s">
        <v>150</v>
      </c>
      <c r="P372" s="21" t="str">
        <f t="shared" si="30"/>
        <v>2025-05</v>
      </c>
      <c r="Q372" s="21">
        <f t="shared" si="31"/>
        <v>2025</v>
      </c>
      <c r="R372" s="34">
        <f t="shared" si="32"/>
        <v>45778</v>
      </c>
      <c r="S372" s="21">
        <f t="shared" si="33"/>
        <v>0</v>
      </c>
      <c r="T372" s="21" t="str">
        <f t="shared" si="34"/>
        <v>Cash-Based</v>
      </c>
      <c r="U372" s="21" t="str">
        <f t="shared" si="35"/>
        <v>One-Time</v>
      </c>
    </row>
    <row r="373" spans="1:21" x14ac:dyDescent="0.3">
      <c r="A373" s="21" t="s">
        <v>1286</v>
      </c>
      <c r="B373" s="21">
        <v>529371</v>
      </c>
      <c r="C373" s="21" t="s">
        <v>1287</v>
      </c>
      <c r="D373" s="21" t="s">
        <v>1288</v>
      </c>
      <c r="E373" s="21" t="s">
        <v>64</v>
      </c>
      <c r="F373" s="21" t="s">
        <v>158</v>
      </c>
      <c r="G373" s="21" t="s">
        <v>108</v>
      </c>
      <c r="H373" s="21" t="s">
        <v>88</v>
      </c>
      <c r="I373" s="21" t="s">
        <v>77</v>
      </c>
      <c r="J373" s="32">
        <v>78464.289999999994</v>
      </c>
      <c r="K373" s="21" t="s">
        <v>71</v>
      </c>
      <c r="L373" s="33">
        <v>45176</v>
      </c>
      <c r="M373" s="21" t="s">
        <v>80</v>
      </c>
      <c r="N373" s="32">
        <v>1563610.66</v>
      </c>
      <c r="O373" s="21" t="s">
        <v>150</v>
      </c>
      <c r="P373" s="21" t="str">
        <f t="shared" si="30"/>
        <v>2023-09</v>
      </c>
      <c r="Q373" s="21">
        <f t="shared" si="31"/>
        <v>2023</v>
      </c>
      <c r="R373" s="34">
        <f t="shared" si="32"/>
        <v>45170</v>
      </c>
      <c r="S373" s="21">
        <f t="shared" si="33"/>
        <v>0</v>
      </c>
      <c r="T373" s="21" t="str">
        <f t="shared" si="34"/>
        <v>Digital</v>
      </c>
      <c r="U373" s="21" t="str">
        <f t="shared" si="35"/>
        <v>One-Time</v>
      </c>
    </row>
    <row r="374" spans="1:21" x14ac:dyDescent="0.3">
      <c r="A374" s="21" t="s">
        <v>1289</v>
      </c>
      <c r="B374" s="21">
        <v>990194</v>
      </c>
      <c r="C374" s="21" t="s">
        <v>1290</v>
      </c>
      <c r="D374" s="21" t="s">
        <v>1291</v>
      </c>
      <c r="E374" s="21" t="s">
        <v>64</v>
      </c>
      <c r="F374" s="21" t="s">
        <v>177</v>
      </c>
      <c r="G374" s="21" t="s">
        <v>113</v>
      </c>
      <c r="H374" s="21" t="s">
        <v>86</v>
      </c>
      <c r="I374" s="21" t="s">
        <v>77</v>
      </c>
      <c r="J374" s="32">
        <v>142933.76999999999</v>
      </c>
      <c r="K374" s="21" t="s">
        <v>68</v>
      </c>
      <c r="L374" s="33">
        <v>45181</v>
      </c>
      <c r="M374" s="21" t="s">
        <v>80</v>
      </c>
      <c r="N374" s="32">
        <v>1697109.27</v>
      </c>
      <c r="O374" s="21" t="s">
        <v>150</v>
      </c>
      <c r="P374" s="21" t="str">
        <f t="shared" si="30"/>
        <v>2023-09</v>
      </c>
      <c r="Q374" s="21">
        <f t="shared" si="31"/>
        <v>2023</v>
      </c>
      <c r="R374" s="34">
        <f t="shared" si="32"/>
        <v>45170</v>
      </c>
      <c r="S374" s="21">
        <f t="shared" si="33"/>
        <v>0</v>
      </c>
      <c r="T374" s="21" t="str">
        <f t="shared" si="34"/>
        <v>Digital</v>
      </c>
      <c r="U374" s="21" t="str">
        <f t="shared" si="35"/>
        <v>One-Time</v>
      </c>
    </row>
    <row r="375" spans="1:21" x14ac:dyDescent="0.3">
      <c r="A375" s="21" t="s">
        <v>1292</v>
      </c>
      <c r="B375" s="21">
        <v>970064</v>
      </c>
      <c r="C375" s="21" t="s">
        <v>1293</v>
      </c>
      <c r="D375" s="21" t="s">
        <v>1294</v>
      </c>
      <c r="E375" s="21" t="s">
        <v>64</v>
      </c>
      <c r="F375" s="21" t="s">
        <v>158</v>
      </c>
      <c r="G375" s="21" t="s">
        <v>108</v>
      </c>
      <c r="H375" s="21" t="s">
        <v>86</v>
      </c>
      <c r="I375" s="21" t="s">
        <v>76</v>
      </c>
      <c r="J375" s="32">
        <v>151050.63</v>
      </c>
      <c r="K375" s="21" t="s">
        <v>72</v>
      </c>
      <c r="L375" s="33">
        <v>45380</v>
      </c>
      <c r="M375" s="21" t="s">
        <v>82</v>
      </c>
      <c r="N375" s="32">
        <v>1211040.1100000001</v>
      </c>
      <c r="O375" s="21" t="s">
        <v>311</v>
      </c>
      <c r="P375" s="21" t="str">
        <f t="shared" si="30"/>
        <v>2024-03</v>
      </c>
      <c r="Q375" s="21">
        <f t="shared" si="31"/>
        <v>2024</v>
      </c>
      <c r="R375" s="34">
        <f t="shared" si="32"/>
        <v>45352</v>
      </c>
      <c r="S375" s="21">
        <f t="shared" si="33"/>
        <v>1</v>
      </c>
      <c r="T375" s="21" t="str">
        <f t="shared" si="34"/>
        <v>Cash-Based</v>
      </c>
      <c r="U375" s="21" t="str">
        <f t="shared" si="35"/>
        <v>One-Time</v>
      </c>
    </row>
    <row r="376" spans="1:21" x14ac:dyDescent="0.3">
      <c r="A376" s="21" t="s">
        <v>1295</v>
      </c>
      <c r="B376" s="21">
        <v>466409</v>
      </c>
      <c r="C376" s="21" t="s">
        <v>1296</v>
      </c>
      <c r="D376" s="21" t="s">
        <v>1297</v>
      </c>
      <c r="E376" s="21" t="s">
        <v>63</v>
      </c>
      <c r="F376" s="21" t="s">
        <v>207</v>
      </c>
      <c r="G376" s="21" t="s">
        <v>127</v>
      </c>
      <c r="H376" s="21" t="s">
        <v>86</v>
      </c>
      <c r="I376" s="21" t="s">
        <v>78</v>
      </c>
      <c r="J376" s="32">
        <v>87369.06</v>
      </c>
      <c r="K376" s="21" t="s">
        <v>71</v>
      </c>
      <c r="L376" s="33">
        <v>45726</v>
      </c>
      <c r="M376" s="21" t="s">
        <v>80</v>
      </c>
      <c r="N376" s="32">
        <v>523219.45</v>
      </c>
      <c r="O376" s="21" t="s">
        <v>150</v>
      </c>
      <c r="P376" s="21" t="str">
        <f t="shared" si="30"/>
        <v>2025-03</v>
      </c>
      <c r="Q376" s="21">
        <f t="shared" si="31"/>
        <v>2025</v>
      </c>
      <c r="R376" s="34">
        <f t="shared" si="32"/>
        <v>45717</v>
      </c>
      <c r="S376" s="21">
        <f t="shared" si="33"/>
        <v>0</v>
      </c>
      <c r="T376" s="21" t="str">
        <f t="shared" si="34"/>
        <v>Digital</v>
      </c>
      <c r="U376" s="21" t="str">
        <f t="shared" si="35"/>
        <v>One-Time</v>
      </c>
    </row>
    <row r="377" spans="1:21" x14ac:dyDescent="0.3">
      <c r="A377" s="21" t="s">
        <v>1298</v>
      </c>
      <c r="B377" s="21">
        <v>691233</v>
      </c>
      <c r="C377" s="21" t="s">
        <v>1299</v>
      </c>
      <c r="D377" s="21" t="s">
        <v>1300</v>
      </c>
      <c r="E377" s="21" t="s">
        <v>62</v>
      </c>
      <c r="F377" s="21" t="s">
        <v>310</v>
      </c>
      <c r="G377" s="21" t="s">
        <v>110</v>
      </c>
      <c r="H377" s="21" t="s">
        <v>89</v>
      </c>
      <c r="I377" s="21" t="s">
        <v>78</v>
      </c>
      <c r="J377" s="32">
        <v>466117.12</v>
      </c>
      <c r="K377" s="21" t="s">
        <v>69</v>
      </c>
      <c r="L377" s="33">
        <v>45665</v>
      </c>
      <c r="M377" s="21" t="s">
        <v>80</v>
      </c>
      <c r="N377" s="32">
        <v>559077.69999999995</v>
      </c>
      <c r="O377" s="21" t="s">
        <v>150</v>
      </c>
      <c r="P377" s="21" t="str">
        <f t="shared" si="30"/>
        <v>2025-01</v>
      </c>
      <c r="Q377" s="21">
        <f t="shared" si="31"/>
        <v>2025</v>
      </c>
      <c r="R377" s="34">
        <f t="shared" si="32"/>
        <v>45658</v>
      </c>
      <c r="S377" s="21">
        <f t="shared" si="33"/>
        <v>0</v>
      </c>
      <c r="T377" s="21" t="str">
        <f t="shared" si="34"/>
        <v>Card-Based</v>
      </c>
      <c r="U377" s="21" t="str">
        <f t="shared" si="35"/>
        <v>One-Time</v>
      </c>
    </row>
    <row r="378" spans="1:21" x14ac:dyDescent="0.3">
      <c r="A378" s="21" t="s">
        <v>1301</v>
      </c>
      <c r="B378" s="21">
        <v>923020</v>
      </c>
      <c r="C378" s="21" t="s">
        <v>1302</v>
      </c>
      <c r="D378" s="21" t="s">
        <v>1303</v>
      </c>
      <c r="E378" s="21" t="s">
        <v>61</v>
      </c>
      <c r="F378" s="21" t="s">
        <v>364</v>
      </c>
      <c r="G378" s="21" t="s">
        <v>130</v>
      </c>
      <c r="H378" s="21" t="s">
        <v>86</v>
      </c>
      <c r="I378" s="21" t="s">
        <v>76</v>
      </c>
      <c r="J378" s="32">
        <v>352951.84</v>
      </c>
      <c r="K378" s="21" t="s">
        <v>68</v>
      </c>
      <c r="L378" s="33">
        <v>45612</v>
      </c>
      <c r="M378" s="21" t="s">
        <v>81</v>
      </c>
      <c r="N378" s="32">
        <v>1563217.64</v>
      </c>
      <c r="O378" s="21" t="s">
        <v>150</v>
      </c>
      <c r="P378" s="21" t="str">
        <f t="shared" si="30"/>
        <v>2024-11</v>
      </c>
      <c r="Q378" s="21">
        <f t="shared" si="31"/>
        <v>2024</v>
      </c>
      <c r="R378" s="34">
        <f t="shared" si="32"/>
        <v>45597</v>
      </c>
      <c r="S378" s="21">
        <f t="shared" si="33"/>
        <v>0</v>
      </c>
      <c r="T378" s="21" t="str">
        <f t="shared" si="34"/>
        <v>Digital</v>
      </c>
      <c r="U378" s="21" t="str">
        <f t="shared" si="35"/>
        <v>One-Time</v>
      </c>
    </row>
    <row r="379" spans="1:21" x14ac:dyDescent="0.3">
      <c r="A379" s="21" t="s">
        <v>1304</v>
      </c>
      <c r="B379" s="21">
        <v>690626</v>
      </c>
      <c r="C379" s="21" t="s">
        <v>1305</v>
      </c>
      <c r="D379" s="21" t="s">
        <v>1306</v>
      </c>
      <c r="E379" s="21" t="s">
        <v>62</v>
      </c>
      <c r="F379" s="21" t="s">
        <v>181</v>
      </c>
      <c r="G379" s="21" t="s">
        <v>123</v>
      </c>
      <c r="H379" s="21" t="s">
        <v>87</v>
      </c>
      <c r="I379" s="21" t="s">
        <v>75</v>
      </c>
      <c r="J379" s="32">
        <v>119830.79</v>
      </c>
      <c r="K379" s="21" t="s">
        <v>69</v>
      </c>
      <c r="L379" s="33">
        <v>45241</v>
      </c>
      <c r="M379" s="21" t="s">
        <v>80</v>
      </c>
      <c r="N379" s="32">
        <v>1196217.07</v>
      </c>
      <c r="O379" s="21" t="s">
        <v>150</v>
      </c>
      <c r="P379" s="21" t="str">
        <f t="shared" si="30"/>
        <v>2023-11</v>
      </c>
      <c r="Q379" s="21">
        <f t="shared" si="31"/>
        <v>2023</v>
      </c>
      <c r="R379" s="34">
        <f t="shared" si="32"/>
        <v>45231</v>
      </c>
      <c r="S379" s="21">
        <f t="shared" si="33"/>
        <v>0</v>
      </c>
      <c r="T379" s="21" t="str">
        <f t="shared" si="34"/>
        <v>Card-Based</v>
      </c>
      <c r="U379" s="21" t="str">
        <f t="shared" si="35"/>
        <v>One-Time</v>
      </c>
    </row>
    <row r="380" spans="1:21" x14ac:dyDescent="0.3">
      <c r="A380" s="21" t="s">
        <v>1307</v>
      </c>
      <c r="B380" s="21">
        <v>459550</v>
      </c>
      <c r="C380" s="21" t="s">
        <v>1308</v>
      </c>
      <c r="D380" s="21" t="s">
        <v>1309</v>
      </c>
      <c r="E380" s="21" t="s">
        <v>64</v>
      </c>
      <c r="F380" s="21" t="s">
        <v>177</v>
      </c>
      <c r="G380" s="21" t="s">
        <v>113</v>
      </c>
      <c r="H380" s="21" t="s">
        <v>89</v>
      </c>
      <c r="I380" s="21" t="s">
        <v>76</v>
      </c>
      <c r="J380" s="32">
        <v>186576.31</v>
      </c>
      <c r="K380" s="21" t="s">
        <v>69</v>
      </c>
      <c r="L380" s="33">
        <v>45294</v>
      </c>
      <c r="M380" s="21" t="s">
        <v>80</v>
      </c>
      <c r="N380" s="32">
        <v>2009292.64</v>
      </c>
      <c r="O380" s="21" t="s">
        <v>150</v>
      </c>
      <c r="P380" s="21" t="str">
        <f t="shared" si="30"/>
        <v>2024-01</v>
      </c>
      <c r="Q380" s="21">
        <f t="shared" si="31"/>
        <v>2024</v>
      </c>
      <c r="R380" s="34">
        <f t="shared" si="32"/>
        <v>45292</v>
      </c>
      <c r="S380" s="21">
        <f t="shared" si="33"/>
        <v>0</v>
      </c>
      <c r="T380" s="21" t="str">
        <f t="shared" si="34"/>
        <v>Card-Based</v>
      </c>
      <c r="U380" s="21" t="str">
        <f t="shared" si="35"/>
        <v>One-Time</v>
      </c>
    </row>
    <row r="381" spans="1:21" x14ac:dyDescent="0.3">
      <c r="A381" s="21" t="s">
        <v>1310</v>
      </c>
      <c r="B381" s="21">
        <v>954780</v>
      </c>
      <c r="C381" s="21" t="s">
        <v>1311</v>
      </c>
      <c r="D381" s="21" t="s">
        <v>1312</v>
      </c>
      <c r="E381" s="21" t="s">
        <v>60</v>
      </c>
      <c r="F381" s="21" t="s">
        <v>286</v>
      </c>
      <c r="G381" s="21" t="s">
        <v>124</v>
      </c>
      <c r="H381" s="21" t="s">
        <v>89</v>
      </c>
      <c r="I381" s="21" t="s">
        <v>75</v>
      </c>
      <c r="J381" s="32">
        <v>189202.98</v>
      </c>
      <c r="K381" s="21" t="s">
        <v>68</v>
      </c>
      <c r="L381" s="33">
        <v>45787</v>
      </c>
      <c r="M381" s="21" t="s">
        <v>80</v>
      </c>
      <c r="N381" s="32">
        <v>1137529.71</v>
      </c>
      <c r="O381" s="21" t="s">
        <v>150</v>
      </c>
      <c r="P381" s="21" t="str">
        <f t="shared" si="30"/>
        <v>2025-05</v>
      </c>
      <c r="Q381" s="21">
        <f t="shared" si="31"/>
        <v>2025</v>
      </c>
      <c r="R381" s="34">
        <f t="shared" si="32"/>
        <v>45778</v>
      </c>
      <c r="S381" s="21">
        <f t="shared" si="33"/>
        <v>0</v>
      </c>
      <c r="T381" s="21" t="str">
        <f t="shared" si="34"/>
        <v>Digital</v>
      </c>
      <c r="U381" s="21" t="str">
        <f t="shared" si="35"/>
        <v>One-Time</v>
      </c>
    </row>
    <row r="382" spans="1:21" x14ac:dyDescent="0.3">
      <c r="A382" s="21" t="s">
        <v>1313</v>
      </c>
      <c r="B382" s="21">
        <v>171459</v>
      </c>
      <c r="C382" s="21" t="s">
        <v>1314</v>
      </c>
      <c r="D382" s="21" t="s">
        <v>1315</v>
      </c>
      <c r="E382" s="21" t="s">
        <v>60</v>
      </c>
      <c r="F382" s="21" t="s">
        <v>149</v>
      </c>
      <c r="G382" s="21" t="s">
        <v>119</v>
      </c>
      <c r="H382" s="21" t="s">
        <v>88</v>
      </c>
      <c r="I382" s="21" t="s">
        <v>75</v>
      </c>
      <c r="J382" s="32">
        <v>102192.65</v>
      </c>
      <c r="K382" s="21" t="s">
        <v>69</v>
      </c>
      <c r="L382" s="33">
        <v>45237</v>
      </c>
      <c r="M382" s="21" t="s">
        <v>80</v>
      </c>
      <c r="N382" s="32">
        <v>564240.31000000006</v>
      </c>
      <c r="O382" s="21" t="s">
        <v>150</v>
      </c>
      <c r="P382" s="21" t="str">
        <f t="shared" si="30"/>
        <v>2023-11</v>
      </c>
      <c r="Q382" s="21">
        <f t="shared" si="31"/>
        <v>2023</v>
      </c>
      <c r="R382" s="34">
        <f t="shared" si="32"/>
        <v>45231</v>
      </c>
      <c r="S382" s="21">
        <f t="shared" si="33"/>
        <v>0</v>
      </c>
      <c r="T382" s="21" t="str">
        <f t="shared" si="34"/>
        <v>Card-Based</v>
      </c>
      <c r="U382" s="21" t="str">
        <f t="shared" si="35"/>
        <v>One-Time</v>
      </c>
    </row>
    <row r="383" spans="1:21" x14ac:dyDescent="0.3">
      <c r="A383" s="21" t="s">
        <v>1316</v>
      </c>
      <c r="B383" s="21">
        <v>568881</v>
      </c>
      <c r="C383" s="21" t="s">
        <v>1317</v>
      </c>
      <c r="D383" s="21" t="s">
        <v>1318</v>
      </c>
      <c r="E383" s="21" t="s">
        <v>60</v>
      </c>
      <c r="F383" s="21" t="s">
        <v>149</v>
      </c>
      <c r="G383" s="21" t="s">
        <v>119</v>
      </c>
      <c r="H383" s="21" t="s">
        <v>88</v>
      </c>
      <c r="I383" s="21" t="s">
        <v>77</v>
      </c>
      <c r="J383" s="32">
        <v>20767.88</v>
      </c>
      <c r="K383" s="21" t="s">
        <v>70</v>
      </c>
      <c r="L383" s="33">
        <v>45449</v>
      </c>
      <c r="M383" s="21" t="s">
        <v>80</v>
      </c>
      <c r="N383" s="32">
        <v>1654884.72</v>
      </c>
      <c r="O383" s="21" t="s">
        <v>150</v>
      </c>
      <c r="P383" s="21" t="str">
        <f t="shared" si="30"/>
        <v>2024-06</v>
      </c>
      <c r="Q383" s="21">
        <f t="shared" si="31"/>
        <v>2024</v>
      </c>
      <c r="R383" s="34">
        <f t="shared" si="32"/>
        <v>45444</v>
      </c>
      <c r="S383" s="21">
        <f t="shared" si="33"/>
        <v>0</v>
      </c>
      <c r="T383" s="21" t="str">
        <f t="shared" si="34"/>
        <v>Card-Based</v>
      </c>
      <c r="U383" s="21" t="str">
        <f t="shared" si="35"/>
        <v>One-Time</v>
      </c>
    </row>
    <row r="384" spans="1:21" x14ac:dyDescent="0.3">
      <c r="A384" s="21" t="s">
        <v>1319</v>
      </c>
      <c r="B384" s="21">
        <v>179714</v>
      </c>
      <c r="C384" s="21" t="s">
        <v>1320</v>
      </c>
      <c r="D384" s="21" t="s">
        <v>1321</v>
      </c>
      <c r="E384" s="21" t="s">
        <v>64</v>
      </c>
      <c r="F384" s="21" t="s">
        <v>162</v>
      </c>
      <c r="G384" s="21" t="s">
        <v>114</v>
      </c>
      <c r="H384" s="21" t="s">
        <v>89</v>
      </c>
      <c r="I384" s="21" t="s">
        <v>77</v>
      </c>
      <c r="J384" s="32">
        <v>84312.88</v>
      </c>
      <c r="K384" s="21" t="s">
        <v>69</v>
      </c>
      <c r="L384" s="33">
        <v>45697</v>
      </c>
      <c r="M384" s="21" t="s">
        <v>80</v>
      </c>
      <c r="N384" s="32">
        <v>812688.42</v>
      </c>
      <c r="O384" s="21" t="s">
        <v>150</v>
      </c>
      <c r="P384" s="21" t="str">
        <f t="shared" si="30"/>
        <v>2025-02</v>
      </c>
      <c r="Q384" s="21">
        <f t="shared" si="31"/>
        <v>2025</v>
      </c>
      <c r="R384" s="34">
        <f t="shared" si="32"/>
        <v>45689</v>
      </c>
      <c r="S384" s="21">
        <f t="shared" si="33"/>
        <v>0</v>
      </c>
      <c r="T384" s="21" t="str">
        <f t="shared" si="34"/>
        <v>Card-Based</v>
      </c>
      <c r="U384" s="21" t="str">
        <f t="shared" si="35"/>
        <v>One-Time</v>
      </c>
    </row>
    <row r="385" spans="1:21" x14ac:dyDescent="0.3">
      <c r="A385" s="21" t="s">
        <v>1322</v>
      </c>
      <c r="B385" s="21">
        <v>507234</v>
      </c>
      <c r="C385" s="21" t="s">
        <v>1323</v>
      </c>
      <c r="D385" s="21" t="s">
        <v>1324</v>
      </c>
      <c r="E385" s="21" t="s">
        <v>63</v>
      </c>
      <c r="F385" s="21" t="s">
        <v>227</v>
      </c>
      <c r="G385" s="21" t="s">
        <v>118</v>
      </c>
      <c r="H385" s="21" t="s">
        <v>87</v>
      </c>
      <c r="I385" s="21" t="s">
        <v>78</v>
      </c>
      <c r="J385" s="32">
        <v>50275.6</v>
      </c>
      <c r="K385" s="21" t="s">
        <v>69</v>
      </c>
      <c r="L385" s="33">
        <v>45168</v>
      </c>
      <c r="M385" s="21" t="s">
        <v>80</v>
      </c>
      <c r="N385" s="32">
        <v>957657.81</v>
      </c>
      <c r="O385" s="21" t="s">
        <v>150</v>
      </c>
      <c r="P385" s="21" t="str">
        <f t="shared" si="30"/>
        <v>2023-08</v>
      </c>
      <c r="Q385" s="21">
        <f t="shared" si="31"/>
        <v>2023</v>
      </c>
      <c r="R385" s="34">
        <f t="shared" si="32"/>
        <v>45139</v>
      </c>
      <c r="S385" s="21">
        <f t="shared" si="33"/>
        <v>0</v>
      </c>
      <c r="T385" s="21" t="str">
        <f t="shared" si="34"/>
        <v>Card-Based</v>
      </c>
      <c r="U385" s="21" t="str">
        <f t="shared" si="35"/>
        <v>One-Time</v>
      </c>
    </row>
    <row r="386" spans="1:21" x14ac:dyDescent="0.3">
      <c r="A386" s="21" t="s">
        <v>1325</v>
      </c>
      <c r="B386" s="21">
        <v>943899</v>
      </c>
      <c r="C386" s="21" t="s">
        <v>1326</v>
      </c>
      <c r="D386" s="21" t="s">
        <v>1327</v>
      </c>
      <c r="E386" s="21" t="s">
        <v>63</v>
      </c>
      <c r="F386" s="21" t="s">
        <v>223</v>
      </c>
      <c r="G386" s="21" t="s">
        <v>129</v>
      </c>
      <c r="H386" s="21" t="s">
        <v>89</v>
      </c>
      <c r="I386" s="21" t="s">
        <v>78</v>
      </c>
      <c r="J386" s="32">
        <v>59673.87</v>
      </c>
      <c r="K386" s="21" t="s">
        <v>72</v>
      </c>
      <c r="L386" s="33">
        <v>45415</v>
      </c>
      <c r="M386" s="21" t="s">
        <v>80</v>
      </c>
      <c r="N386" s="32">
        <v>2031243.6</v>
      </c>
      <c r="O386" s="21" t="s">
        <v>150</v>
      </c>
      <c r="P386" s="21" t="str">
        <f t="shared" ref="P386:P449" si="36">TEXT(L386,"yyyy-mm")</f>
        <v>2024-05</v>
      </c>
      <c r="Q386" s="21">
        <f t="shared" ref="Q386:Q449" si="37">YEAR(L386)</f>
        <v>2024</v>
      </c>
      <c r="R386" s="34">
        <f t="shared" ref="R386:R449" si="38">DATE(YEAR(L386),MONTH(L386),1)</f>
        <v>45413</v>
      </c>
      <c r="S386" s="21">
        <f t="shared" ref="S386:S449" si="39">IF(O386="Yes",1,0)</f>
        <v>0</v>
      </c>
      <c r="T386" s="21" t="str">
        <f t="shared" ref="T386:T449" si="40">IF(OR(K386="UPI",K386="Net Banking"),"Digital",IF(OR(K386="Debit Card",K386="Credit Card"),"Card-Based",IF(K386="Cash","Cash-Based","Unknown")))</f>
        <v>Cash-Based</v>
      </c>
      <c r="U386" s="21" t="str">
        <f t="shared" ref="U386:U449" si="41">IF(COUNTIF($B$2:$B$501,B386)&gt;1,"Frequent","One-Time")</f>
        <v>One-Time</v>
      </c>
    </row>
    <row r="387" spans="1:21" x14ac:dyDescent="0.3">
      <c r="A387" s="21" t="s">
        <v>1328</v>
      </c>
      <c r="B387" s="21">
        <v>722523</v>
      </c>
      <c r="C387" s="21" t="s">
        <v>1329</v>
      </c>
      <c r="D387" s="21" t="s">
        <v>1330</v>
      </c>
      <c r="E387" s="21" t="s">
        <v>60</v>
      </c>
      <c r="F387" s="21" t="s">
        <v>203</v>
      </c>
      <c r="G387" s="21" t="s">
        <v>128</v>
      </c>
      <c r="H387" s="21" t="s">
        <v>89</v>
      </c>
      <c r="I387" s="21" t="s">
        <v>78</v>
      </c>
      <c r="J387" s="32">
        <v>332407.67</v>
      </c>
      <c r="K387" s="21" t="s">
        <v>69</v>
      </c>
      <c r="L387" s="33">
        <v>45616</v>
      </c>
      <c r="M387" s="21" t="s">
        <v>80</v>
      </c>
      <c r="N387" s="32">
        <v>455920.87</v>
      </c>
      <c r="O387" s="21" t="s">
        <v>150</v>
      </c>
      <c r="P387" s="21" t="str">
        <f t="shared" si="36"/>
        <v>2024-11</v>
      </c>
      <c r="Q387" s="21">
        <f t="shared" si="37"/>
        <v>2024</v>
      </c>
      <c r="R387" s="34">
        <f t="shared" si="38"/>
        <v>45597</v>
      </c>
      <c r="S387" s="21">
        <f t="shared" si="39"/>
        <v>0</v>
      </c>
      <c r="T387" s="21" t="str">
        <f t="shared" si="40"/>
        <v>Card-Based</v>
      </c>
      <c r="U387" s="21" t="str">
        <f t="shared" si="41"/>
        <v>One-Time</v>
      </c>
    </row>
    <row r="388" spans="1:21" x14ac:dyDescent="0.3">
      <c r="A388" s="21" t="s">
        <v>1331</v>
      </c>
      <c r="B388" s="21">
        <v>427315</v>
      </c>
      <c r="C388" s="21" t="s">
        <v>1332</v>
      </c>
      <c r="D388" s="21" t="s">
        <v>1333</v>
      </c>
      <c r="E388" s="21" t="s">
        <v>60</v>
      </c>
      <c r="F388" s="21" t="s">
        <v>166</v>
      </c>
      <c r="G388" s="21" t="s">
        <v>107</v>
      </c>
      <c r="H388" s="21" t="s">
        <v>88</v>
      </c>
      <c r="I388" s="21" t="s">
        <v>76</v>
      </c>
      <c r="J388" s="32">
        <v>350133.78</v>
      </c>
      <c r="K388" s="21" t="s">
        <v>72</v>
      </c>
      <c r="L388" s="33">
        <v>45690</v>
      </c>
      <c r="M388" s="21" t="s">
        <v>80</v>
      </c>
      <c r="N388" s="32">
        <v>1597588.23</v>
      </c>
      <c r="O388" s="21" t="s">
        <v>150</v>
      </c>
      <c r="P388" s="21" t="str">
        <f t="shared" si="36"/>
        <v>2025-02</v>
      </c>
      <c r="Q388" s="21">
        <f t="shared" si="37"/>
        <v>2025</v>
      </c>
      <c r="R388" s="34">
        <f t="shared" si="38"/>
        <v>45689</v>
      </c>
      <c r="S388" s="21">
        <f t="shared" si="39"/>
        <v>0</v>
      </c>
      <c r="T388" s="21" t="str">
        <f t="shared" si="40"/>
        <v>Cash-Based</v>
      </c>
      <c r="U388" s="21" t="str">
        <f t="shared" si="41"/>
        <v>One-Time</v>
      </c>
    </row>
    <row r="389" spans="1:21" x14ac:dyDescent="0.3">
      <c r="A389" s="21" t="s">
        <v>1334</v>
      </c>
      <c r="B389" s="21">
        <v>528399</v>
      </c>
      <c r="C389" s="21" t="s">
        <v>1335</v>
      </c>
      <c r="D389" s="21" t="s">
        <v>1336</v>
      </c>
      <c r="E389" s="21" t="s">
        <v>62</v>
      </c>
      <c r="F389" s="21" t="s">
        <v>199</v>
      </c>
      <c r="G389" s="21" t="s">
        <v>120</v>
      </c>
      <c r="H389" s="21" t="s">
        <v>86</v>
      </c>
      <c r="I389" s="21" t="s">
        <v>77</v>
      </c>
      <c r="J389" s="32">
        <v>23309.68</v>
      </c>
      <c r="K389" s="21" t="s">
        <v>72</v>
      </c>
      <c r="L389" s="33">
        <v>45632</v>
      </c>
      <c r="M389" s="21" t="s">
        <v>80</v>
      </c>
      <c r="N389" s="32">
        <v>1385627.33</v>
      </c>
      <c r="O389" s="21" t="s">
        <v>150</v>
      </c>
      <c r="P389" s="21" t="str">
        <f t="shared" si="36"/>
        <v>2024-12</v>
      </c>
      <c r="Q389" s="21">
        <f t="shared" si="37"/>
        <v>2024</v>
      </c>
      <c r="R389" s="34">
        <f t="shared" si="38"/>
        <v>45627</v>
      </c>
      <c r="S389" s="21">
        <f t="shared" si="39"/>
        <v>0</v>
      </c>
      <c r="T389" s="21" t="str">
        <f t="shared" si="40"/>
        <v>Cash-Based</v>
      </c>
      <c r="U389" s="21" t="str">
        <f t="shared" si="41"/>
        <v>One-Time</v>
      </c>
    </row>
    <row r="390" spans="1:21" x14ac:dyDescent="0.3">
      <c r="A390" s="21" t="s">
        <v>1337</v>
      </c>
      <c r="B390" s="21">
        <v>464910</v>
      </c>
      <c r="C390" s="21" t="s">
        <v>1338</v>
      </c>
      <c r="D390" s="21" t="s">
        <v>1339</v>
      </c>
      <c r="E390" s="21" t="s">
        <v>64</v>
      </c>
      <c r="F390" s="21" t="s">
        <v>158</v>
      </c>
      <c r="G390" s="21" t="s">
        <v>108</v>
      </c>
      <c r="H390" s="21" t="s">
        <v>89</v>
      </c>
      <c r="I390" s="21" t="s">
        <v>75</v>
      </c>
      <c r="J390" s="32">
        <v>286156.07</v>
      </c>
      <c r="K390" s="21" t="s">
        <v>70</v>
      </c>
      <c r="L390" s="33">
        <v>45548</v>
      </c>
      <c r="M390" s="21" t="s">
        <v>82</v>
      </c>
      <c r="N390" s="32">
        <v>563593.56000000006</v>
      </c>
      <c r="O390" s="21" t="s">
        <v>150</v>
      </c>
      <c r="P390" s="21" t="str">
        <f t="shared" si="36"/>
        <v>2024-09</v>
      </c>
      <c r="Q390" s="21">
        <f t="shared" si="37"/>
        <v>2024</v>
      </c>
      <c r="R390" s="34">
        <f t="shared" si="38"/>
        <v>45536</v>
      </c>
      <c r="S390" s="21">
        <f t="shared" si="39"/>
        <v>0</v>
      </c>
      <c r="T390" s="21" t="str">
        <f t="shared" si="40"/>
        <v>Card-Based</v>
      </c>
      <c r="U390" s="21" t="str">
        <f t="shared" si="41"/>
        <v>One-Time</v>
      </c>
    </row>
    <row r="391" spans="1:21" x14ac:dyDescent="0.3">
      <c r="A391" s="21" t="s">
        <v>1340</v>
      </c>
      <c r="B391" s="21">
        <v>524813</v>
      </c>
      <c r="C391" s="21" t="s">
        <v>1341</v>
      </c>
      <c r="D391" s="21" t="s">
        <v>1342</v>
      </c>
      <c r="E391" s="21" t="s">
        <v>63</v>
      </c>
      <c r="F391" s="21" t="s">
        <v>293</v>
      </c>
      <c r="G391" s="21" t="s">
        <v>126</v>
      </c>
      <c r="H391" s="21" t="s">
        <v>86</v>
      </c>
      <c r="I391" s="21" t="s">
        <v>78</v>
      </c>
      <c r="J391" s="32">
        <v>363834.7</v>
      </c>
      <c r="K391" s="21" t="s">
        <v>70</v>
      </c>
      <c r="L391" s="33">
        <v>45172</v>
      </c>
      <c r="M391" s="21" t="s">
        <v>80</v>
      </c>
      <c r="N391" s="32">
        <v>1065625.76</v>
      </c>
      <c r="O391" s="21" t="s">
        <v>150</v>
      </c>
      <c r="P391" s="21" t="str">
        <f t="shared" si="36"/>
        <v>2023-09</v>
      </c>
      <c r="Q391" s="21">
        <f t="shared" si="37"/>
        <v>2023</v>
      </c>
      <c r="R391" s="34">
        <f t="shared" si="38"/>
        <v>45170</v>
      </c>
      <c r="S391" s="21">
        <f t="shared" si="39"/>
        <v>0</v>
      </c>
      <c r="T391" s="21" t="str">
        <f t="shared" si="40"/>
        <v>Card-Based</v>
      </c>
      <c r="U391" s="21" t="str">
        <f t="shared" si="41"/>
        <v>One-Time</v>
      </c>
    </row>
    <row r="392" spans="1:21" x14ac:dyDescent="0.3">
      <c r="A392" s="21" t="s">
        <v>1343</v>
      </c>
      <c r="B392" s="21">
        <v>530475</v>
      </c>
      <c r="C392" s="21" t="s">
        <v>1344</v>
      </c>
      <c r="D392" s="21" t="s">
        <v>1345</v>
      </c>
      <c r="E392" s="21" t="s">
        <v>61</v>
      </c>
      <c r="F392" s="21" t="s">
        <v>364</v>
      </c>
      <c r="G392" s="21" t="s">
        <v>130</v>
      </c>
      <c r="H392" s="21" t="s">
        <v>89</v>
      </c>
      <c r="I392" s="21" t="s">
        <v>78</v>
      </c>
      <c r="J392" s="32">
        <v>138404.46</v>
      </c>
      <c r="K392" s="21" t="s">
        <v>69</v>
      </c>
      <c r="L392" s="33">
        <v>45215</v>
      </c>
      <c r="M392" s="21" t="s">
        <v>80</v>
      </c>
      <c r="N392" s="32">
        <v>254646.03</v>
      </c>
      <c r="O392" s="21" t="s">
        <v>150</v>
      </c>
      <c r="P392" s="21" t="str">
        <f t="shared" si="36"/>
        <v>2023-10</v>
      </c>
      <c r="Q392" s="21">
        <f t="shared" si="37"/>
        <v>2023</v>
      </c>
      <c r="R392" s="34">
        <f t="shared" si="38"/>
        <v>45200</v>
      </c>
      <c r="S392" s="21">
        <f t="shared" si="39"/>
        <v>0</v>
      </c>
      <c r="T392" s="21" t="str">
        <f t="shared" si="40"/>
        <v>Card-Based</v>
      </c>
      <c r="U392" s="21" t="str">
        <f t="shared" si="41"/>
        <v>One-Time</v>
      </c>
    </row>
    <row r="393" spans="1:21" x14ac:dyDescent="0.3">
      <c r="A393" s="21" t="s">
        <v>1346</v>
      </c>
      <c r="B393" s="21">
        <v>842079</v>
      </c>
      <c r="C393" s="21" t="s">
        <v>1347</v>
      </c>
      <c r="D393" s="21" t="s">
        <v>1348</v>
      </c>
      <c r="E393" s="21" t="s">
        <v>63</v>
      </c>
      <c r="F393" s="21" t="s">
        <v>207</v>
      </c>
      <c r="G393" s="21" t="s">
        <v>127</v>
      </c>
      <c r="H393" s="21" t="s">
        <v>87</v>
      </c>
      <c r="I393" s="21" t="s">
        <v>76</v>
      </c>
      <c r="J393" s="32">
        <v>174088.39</v>
      </c>
      <c r="K393" s="21" t="s">
        <v>72</v>
      </c>
      <c r="L393" s="33">
        <v>45576</v>
      </c>
      <c r="M393" s="21" t="s">
        <v>80</v>
      </c>
      <c r="N393" s="32">
        <v>913093.72</v>
      </c>
      <c r="O393" s="21" t="s">
        <v>150</v>
      </c>
      <c r="P393" s="21" t="str">
        <f t="shared" si="36"/>
        <v>2024-10</v>
      </c>
      <c r="Q393" s="21">
        <f t="shared" si="37"/>
        <v>2024</v>
      </c>
      <c r="R393" s="34">
        <f t="shared" si="38"/>
        <v>45566</v>
      </c>
      <c r="S393" s="21">
        <f t="shared" si="39"/>
        <v>0</v>
      </c>
      <c r="T393" s="21" t="str">
        <f t="shared" si="40"/>
        <v>Cash-Based</v>
      </c>
      <c r="U393" s="21" t="str">
        <f t="shared" si="41"/>
        <v>One-Time</v>
      </c>
    </row>
    <row r="394" spans="1:21" x14ac:dyDescent="0.3">
      <c r="A394" s="21" t="s">
        <v>1349</v>
      </c>
      <c r="B394" s="21">
        <v>316483</v>
      </c>
      <c r="C394" s="21" t="s">
        <v>1350</v>
      </c>
      <c r="D394" s="21" t="s">
        <v>1351</v>
      </c>
      <c r="E394" s="21" t="s">
        <v>62</v>
      </c>
      <c r="F394" s="21" t="s">
        <v>310</v>
      </c>
      <c r="G394" s="21" t="s">
        <v>110</v>
      </c>
      <c r="H394" s="21" t="s">
        <v>88</v>
      </c>
      <c r="I394" s="21" t="s">
        <v>76</v>
      </c>
      <c r="J394" s="32">
        <v>17664.689999999999</v>
      </c>
      <c r="K394" s="21" t="s">
        <v>69</v>
      </c>
      <c r="L394" s="33">
        <v>45768</v>
      </c>
      <c r="M394" s="21" t="s">
        <v>80</v>
      </c>
      <c r="N394" s="32">
        <v>192599.89</v>
      </c>
      <c r="O394" s="21" t="s">
        <v>150</v>
      </c>
      <c r="P394" s="21" t="str">
        <f t="shared" si="36"/>
        <v>2025-04</v>
      </c>
      <c r="Q394" s="21">
        <f t="shared" si="37"/>
        <v>2025</v>
      </c>
      <c r="R394" s="34">
        <f t="shared" si="38"/>
        <v>45748</v>
      </c>
      <c r="S394" s="21">
        <f t="shared" si="39"/>
        <v>0</v>
      </c>
      <c r="T394" s="21" t="str">
        <f t="shared" si="40"/>
        <v>Card-Based</v>
      </c>
      <c r="U394" s="21" t="str">
        <f t="shared" si="41"/>
        <v>One-Time</v>
      </c>
    </row>
    <row r="395" spans="1:21" x14ac:dyDescent="0.3">
      <c r="A395" s="21" t="s">
        <v>1352</v>
      </c>
      <c r="B395" s="21">
        <v>167811</v>
      </c>
      <c r="C395" s="21" t="s">
        <v>1353</v>
      </c>
      <c r="D395" s="21" t="s">
        <v>1354</v>
      </c>
      <c r="E395" s="21" t="s">
        <v>63</v>
      </c>
      <c r="F395" s="21" t="s">
        <v>255</v>
      </c>
      <c r="G395" s="21" t="s">
        <v>115</v>
      </c>
      <c r="H395" s="21" t="s">
        <v>87</v>
      </c>
      <c r="I395" s="21" t="s">
        <v>76</v>
      </c>
      <c r="J395" s="32">
        <v>35630.32</v>
      </c>
      <c r="K395" s="21" t="s">
        <v>68</v>
      </c>
      <c r="L395" s="33">
        <v>45199</v>
      </c>
      <c r="M395" s="21" t="s">
        <v>80</v>
      </c>
      <c r="N395" s="32">
        <v>972098.69</v>
      </c>
      <c r="O395" s="21" t="s">
        <v>150</v>
      </c>
      <c r="P395" s="21" t="str">
        <f t="shared" si="36"/>
        <v>2023-09</v>
      </c>
      <c r="Q395" s="21">
        <f t="shared" si="37"/>
        <v>2023</v>
      </c>
      <c r="R395" s="34">
        <f t="shared" si="38"/>
        <v>45170</v>
      </c>
      <c r="S395" s="21">
        <f t="shared" si="39"/>
        <v>0</v>
      </c>
      <c r="T395" s="21" t="str">
        <f t="shared" si="40"/>
        <v>Digital</v>
      </c>
      <c r="U395" s="21" t="str">
        <f t="shared" si="41"/>
        <v>One-Time</v>
      </c>
    </row>
    <row r="396" spans="1:21" x14ac:dyDescent="0.3">
      <c r="A396" s="21" t="s">
        <v>1355</v>
      </c>
      <c r="B396" s="21">
        <v>734296</v>
      </c>
      <c r="C396" s="21" t="s">
        <v>1356</v>
      </c>
      <c r="D396" s="21" t="s">
        <v>1357</v>
      </c>
      <c r="E396" s="21" t="s">
        <v>60</v>
      </c>
      <c r="F396" s="21" t="s">
        <v>149</v>
      </c>
      <c r="G396" s="21" t="s">
        <v>119</v>
      </c>
      <c r="H396" s="21" t="s">
        <v>87</v>
      </c>
      <c r="I396" s="21" t="s">
        <v>76</v>
      </c>
      <c r="J396" s="32">
        <v>373735.38</v>
      </c>
      <c r="K396" s="21" t="s">
        <v>69</v>
      </c>
      <c r="L396" s="33">
        <v>45400</v>
      </c>
      <c r="M396" s="21" t="s">
        <v>80</v>
      </c>
      <c r="N396" s="32">
        <v>562280.92000000004</v>
      </c>
      <c r="O396" s="21" t="s">
        <v>150</v>
      </c>
      <c r="P396" s="21" t="str">
        <f t="shared" si="36"/>
        <v>2024-04</v>
      </c>
      <c r="Q396" s="21">
        <f t="shared" si="37"/>
        <v>2024</v>
      </c>
      <c r="R396" s="34">
        <f t="shared" si="38"/>
        <v>45383</v>
      </c>
      <c r="S396" s="21">
        <f t="shared" si="39"/>
        <v>0</v>
      </c>
      <c r="T396" s="21" t="str">
        <f t="shared" si="40"/>
        <v>Card-Based</v>
      </c>
      <c r="U396" s="21" t="str">
        <f t="shared" si="41"/>
        <v>One-Time</v>
      </c>
    </row>
    <row r="397" spans="1:21" x14ac:dyDescent="0.3">
      <c r="A397" s="21" t="s">
        <v>1358</v>
      </c>
      <c r="B397" s="21">
        <v>807933</v>
      </c>
      <c r="C397" s="21" t="s">
        <v>1359</v>
      </c>
      <c r="D397" s="21" t="s">
        <v>1360</v>
      </c>
      <c r="E397" s="21" t="s">
        <v>64</v>
      </c>
      <c r="F397" s="21" t="s">
        <v>188</v>
      </c>
      <c r="G397" s="21" t="s">
        <v>112</v>
      </c>
      <c r="H397" s="21" t="s">
        <v>88</v>
      </c>
      <c r="I397" s="21" t="s">
        <v>75</v>
      </c>
      <c r="J397" s="32">
        <v>274709.48</v>
      </c>
      <c r="K397" s="21" t="s">
        <v>69</v>
      </c>
      <c r="L397" s="33">
        <v>45665</v>
      </c>
      <c r="M397" s="21" t="s">
        <v>80</v>
      </c>
      <c r="N397" s="32">
        <v>827374.07999999996</v>
      </c>
      <c r="O397" s="21" t="s">
        <v>150</v>
      </c>
      <c r="P397" s="21" t="str">
        <f t="shared" si="36"/>
        <v>2025-01</v>
      </c>
      <c r="Q397" s="21">
        <f t="shared" si="37"/>
        <v>2025</v>
      </c>
      <c r="R397" s="34">
        <f t="shared" si="38"/>
        <v>45658</v>
      </c>
      <c r="S397" s="21">
        <f t="shared" si="39"/>
        <v>0</v>
      </c>
      <c r="T397" s="21" t="str">
        <f t="shared" si="40"/>
        <v>Card-Based</v>
      </c>
      <c r="U397" s="21" t="str">
        <f t="shared" si="41"/>
        <v>One-Time</v>
      </c>
    </row>
    <row r="398" spans="1:21" x14ac:dyDescent="0.3">
      <c r="A398" s="21" t="s">
        <v>1361</v>
      </c>
      <c r="B398" s="21">
        <v>595797</v>
      </c>
      <c r="C398" s="21" t="s">
        <v>1362</v>
      </c>
      <c r="D398" s="21" t="s">
        <v>1363</v>
      </c>
      <c r="E398" s="21" t="s">
        <v>62</v>
      </c>
      <c r="F398" s="21" t="s">
        <v>297</v>
      </c>
      <c r="G398" s="21" t="s">
        <v>111</v>
      </c>
      <c r="H398" s="21" t="s">
        <v>89</v>
      </c>
      <c r="I398" s="21" t="s">
        <v>77</v>
      </c>
      <c r="J398" s="32">
        <v>47207.39</v>
      </c>
      <c r="K398" s="21" t="s">
        <v>70</v>
      </c>
      <c r="L398" s="33">
        <v>45681</v>
      </c>
      <c r="M398" s="21" t="s">
        <v>80</v>
      </c>
      <c r="N398" s="32">
        <v>1330535.8400000001</v>
      </c>
      <c r="O398" s="21" t="s">
        <v>150</v>
      </c>
      <c r="P398" s="21" t="str">
        <f t="shared" si="36"/>
        <v>2025-01</v>
      </c>
      <c r="Q398" s="21">
        <f t="shared" si="37"/>
        <v>2025</v>
      </c>
      <c r="R398" s="34">
        <f t="shared" si="38"/>
        <v>45658</v>
      </c>
      <c r="S398" s="21">
        <f t="shared" si="39"/>
        <v>0</v>
      </c>
      <c r="T398" s="21" t="str">
        <f t="shared" si="40"/>
        <v>Card-Based</v>
      </c>
      <c r="U398" s="21" t="str">
        <f t="shared" si="41"/>
        <v>One-Time</v>
      </c>
    </row>
    <row r="399" spans="1:21" x14ac:dyDescent="0.3">
      <c r="A399" s="21" t="s">
        <v>1364</v>
      </c>
      <c r="B399" s="21">
        <v>638327</v>
      </c>
      <c r="C399" s="21" t="s">
        <v>1365</v>
      </c>
      <c r="D399" s="21" t="s">
        <v>1366</v>
      </c>
      <c r="E399" s="21" t="s">
        <v>62</v>
      </c>
      <c r="F399" s="21" t="s">
        <v>275</v>
      </c>
      <c r="G399" s="21" t="s">
        <v>109</v>
      </c>
      <c r="H399" s="21" t="s">
        <v>88</v>
      </c>
      <c r="I399" s="21" t="s">
        <v>75</v>
      </c>
      <c r="J399" s="32">
        <v>53920.36</v>
      </c>
      <c r="K399" s="21" t="s">
        <v>69</v>
      </c>
      <c r="L399" s="33">
        <v>45347</v>
      </c>
      <c r="M399" s="21" t="s">
        <v>80</v>
      </c>
      <c r="N399" s="32">
        <v>557423.14</v>
      </c>
      <c r="O399" s="21" t="s">
        <v>150</v>
      </c>
      <c r="P399" s="21" t="str">
        <f t="shared" si="36"/>
        <v>2024-02</v>
      </c>
      <c r="Q399" s="21">
        <f t="shared" si="37"/>
        <v>2024</v>
      </c>
      <c r="R399" s="34">
        <f t="shared" si="38"/>
        <v>45323</v>
      </c>
      <c r="S399" s="21">
        <f t="shared" si="39"/>
        <v>0</v>
      </c>
      <c r="T399" s="21" t="str">
        <f t="shared" si="40"/>
        <v>Card-Based</v>
      </c>
      <c r="U399" s="21" t="str">
        <f t="shared" si="41"/>
        <v>One-Time</v>
      </c>
    </row>
    <row r="400" spans="1:21" x14ac:dyDescent="0.3">
      <c r="A400" s="21" t="s">
        <v>1367</v>
      </c>
      <c r="B400" s="21">
        <v>154017</v>
      </c>
      <c r="C400" s="21" t="s">
        <v>1368</v>
      </c>
      <c r="D400" s="21" t="s">
        <v>1369</v>
      </c>
      <c r="E400" s="21" t="s">
        <v>62</v>
      </c>
      <c r="F400" s="21" t="s">
        <v>275</v>
      </c>
      <c r="G400" s="21" t="s">
        <v>109</v>
      </c>
      <c r="H400" s="21" t="s">
        <v>89</v>
      </c>
      <c r="I400" s="21" t="s">
        <v>75</v>
      </c>
      <c r="J400" s="32">
        <v>10220.280000000001</v>
      </c>
      <c r="K400" s="21" t="s">
        <v>72</v>
      </c>
      <c r="L400" s="33">
        <v>45279</v>
      </c>
      <c r="M400" s="21" t="s">
        <v>80</v>
      </c>
      <c r="N400" s="32">
        <v>1490511.61</v>
      </c>
      <c r="O400" s="21" t="s">
        <v>150</v>
      </c>
      <c r="P400" s="21" t="str">
        <f t="shared" si="36"/>
        <v>2023-12</v>
      </c>
      <c r="Q400" s="21">
        <f t="shared" si="37"/>
        <v>2023</v>
      </c>
      <c r="R400" s="34">
        <f t="shared" si="38"/>
        <v>45261</v>
      </c>
      <c r="S400" s="21">
        <f t="shared" si="39"/>
        <v>0</v>
      </c>
      <c r="T400" s="21" t="str">
        <f t="shared" si="40"/>
        <v>Cash-Based</v>
      </c>
      <c r="U400" s="21" t="str">
        <f t="shared" si="41"/>
        <v>One-Time</v>
      </c>
    </row>
    <row r="401" spans="1:21" x14ac:dyDescent="0.3">
      <c r="A401" s="21" t="s">
        <v>1370</v>
      </c>
      <c r="B401" s="21">
        <v>764808</v>
      </c>
      <c r="C401" s="21" t="s">
        <v>1371</v>
      </c>
      <c r="D401" s="21" t="s">
        <v>1372</v>
      </c>
      <c r="E401" s="21" t="s">
        <v>63</v>
      </c>
      <c r="F401" s="21" t="s">
        <v>223</v>
      </c>
      <c r="G401" s="21" t="s">
        <v>129</v>
      </c>
      <c r="H401" s="21" t="s">
        <v>88</v>
      </c>
      <c r="I401" s="21" t="s">
        <v>75</v>
      </c>
      <c r="J401" s="32">
        <v>206210.04</v>
      </c>
      <c r="K401" s="21" t="s">
        <v>69</v>
      </c>
      <c r="L401" s="33">
        <v>45685</v>
      </c>
      <c r="M401" s="21" t="s">
        <v>80</v>
      </c>
      <c r="N401" s="32">
        <v>2094313.48</v>
      </c>
      <c r="O401" s="21" t="s">
        <v>150</v>
      </c>
      <c r="P401" s="21" t="str">
        <f t="shared" si="36"/>
        <v>2025-01</v>
      </c>
      <c r="Q401" s="21">
        <f t="shared" si="37"/>
        <v>2025</v>
      </c>
      <c r="R401" s="34">
        <f t="shared" si="38"/>
        <v>45658</v>
      </c>
      <c r="S401" s="21">
        <f t="shared" si="39"/>
        <v>0</v>
      </c>
      <c r="T401" s="21" t="str">
        <f t="shared" si="40"/>
        <v>Card-Based</v>
      </c>
      <c r="U401" s="21" t="str">
        <f t="shared" si="41"/>
        <v>One-Time</v>
      </c>
    </row>
    <row r="402" spans="1:21" x14ac:dyDescent="0.3">
      <c r="A402" s="21" t="s">
        <v>1373</v>
      </c>
      <c r="B402" s="21">
        <v>423000</v>
      </c>
      <c r="C402" s="21" t="s">
        <v>1374</v>
      </c>
      <c r="D402" s="21" t="s">
        <v>1375</v>
      </c>
      <c r="E402" s="21" t="s">
        <v>62</v>
      </c>
      <c r="F402" s="21" t="s">
        <v>310</v>
      </c>
      <c r="G402" s="21" t="s">
        <v>110</v>
      </c>
      <c r="H402" s="21" t="s">
        <v>88</v>
      </c>
      <c r="I402" s="21" t="s">
        <v>75</v>
      </c>
      <c r="J402" s="32">
        <v>215474.39</v>
      </c>
      <c r="K402" s="21" t="s">
        <v>71</v>
      </c>
      <c r="L402" s="33">
        <v>45573</v>
      </c>
      <c r="M402" s="21" t="s">
        <v>80</v>
      </c>
      <c r="N402" s="32">
        <v>1178451.6100000001</v>
      </c>
      <c r="O402" s="21" t="s">
        <v>150</v>
      </c>
      <c r="P402" s="21" t="str">
        <f t="shared" si="36"/>
        <v>2024-10</v>
      </c>
      <c r="Q402" s="21">
        <f t="shared" si="37"/>
        <v>2024</v>
      </c>
      <c r="R402" s="34">
        <f t="shared" si="38"/>
        <v>45566</v>
      </c>
      <c r="S402" s="21">
        <f t="shared" si="39"/>
        <v>0</v>
      </c>
      <c r="T402" s="21" t="str">
        <f t="shared" si="40"/>
        <v>Digital</v>
      </c>
      <c r="U402" s="21" t="str">
        <f t="shared" si="41"/>
        <v>One-Time</v>
      </c>
    </row>
    <row r="403" spans="1:21" x14ac:dyDescent="0.3">
      <c r="A403" s="21" t="s">
        <v>1376</v>
      </c>
      <c r="B403" s="21">
        <v>130377</v>
      </c>
      <c r="C403" s="21" t="s">
        <v>1377</v>
      </c>
      <c r="D403" s="21" t="s">
        <v>1378</v>
      </c>
      <c r="E403" s="21" t="s">
        <v>64</v>
      </c>
      <c r="F403" s="21" t="s">
        <v>188</v>
      </c>
      <c r="G403" s="21" t="s">
        <v>112</v>
      </c>
      <c r="H403" s="21" t="s">
        <v>87</v>
      </c>
      <c r="I403" s="21" t="s">
        <v>75</v>
      </c>
      <c r="J403" s="32">
        <v>70527.759999999995</v>
      </c>
      <c r="K403" s="21" t="s">
        <v>70</v>
      </c>
      <c r="L403" s="33">
        <v>45541</v>
      </c>
      <c r="M403" s="21" t="s">
        <v>80</v>
      </c>
      <c r="N403" s="32">
        <v>379125.15</v>
      </c>
      <c r="O403" s="21" t="s">
        <v>150</v>
      </c>
      <c r="P403" s="21" t="str">
        <f t="shared" si="36"/>
        <v>2024-09</v>
      </c>
      <c r="Q403" s="21">
        <f t="shared" si="37"/>
        <v>2024</v>
      </c>
      <c r="R403" s="34">
        <f t="shared" si="38"/>
        <v>45536</v>
      </c>
      <c r="S403" s="21">
        <f t="shared" si="39"/>
        <v>0</v>
      </c>
      <c r="T403" s="21" t="str">
        <f t="shared" si="40"/>
        <v>Card-Based</v>
      </c>
      <c r="U403" s="21" t="str">
        <f t="shared" si="41"/>
        <v>One-Time</v>
      </c>
    </row>
    <row r="404" spans="1:21" x14ac:dyDescent="0.3">
      <c r="A404" s="21" t="s">
        <v>1379</v>
      </c>
      <c r="B404" s="21">
        <v>460288</v>
      </c>
      <c r="C404" s="21" t="s">
        <v>1380</v>
      </c>
      <c r="D404" s="21" t="s">
        <v>1381</v>
      </c>
      <c r="E404" s="21" t="s">
        <v>63</v>
      </c>
      <c r="F404" s="21" t="s">
        <v>293</v>
      </c>
      <c r="G404" s="21" t="s">
        <v>126</v>
      </c>
      <c r="H404" s="21" t="s">
        <v>88</v>
      </c>
      <c r="I404" s="21" t="s">
        <v>78</v>
      </c>
      <c r="J404" s="32">
        <v>512577</v>
      </c>
      <c r="K404" s="21" t="s">
        <v>70</v>
      </c>
      <c r="L404" s="33">
        <v>45303</v>
      </c>
      <c r="M404" s="21" t="s">
        <v>80</v>
      </c>
      <c r="N404" s="32">
        <v>1566981.75</v>
      </c>
      <c r="O404" s="21" t="s">
        <v>150</v>
      </c>
      <c r="P404" s="21" t="str">
        <f t="shared" si="36"/>
        <v>2024-01</v>
      </c>
      <c r="Q404" s="21">
        <f t="shared" si="37"/>
        <v>2024</v>
      </c>
      <c r="R404" s="34">
        <f t="shared" si="38"/>
        <v>45292</v>
      </c>
      <c r="S404" s="21">
        <f t="shared" si="39"/>
        <v>0</v>
      </c>
      <c r="T404" s="21" t="str">
        <f t="shared" si="40"/>
        <v>Card-Based</v>
      </c>
      <c r="U404" s="21" t="str">
        <f t="shared" si="41"/>
        <v>One-Time</v>
      </c>
    </row>
    <row r="405" spans="1:21" x14ac:dyDescent="0.3">
      <c r="A405" s="21" t="s">
        <v>1382</v>
      </c>
      <c r="B405" s="21">
        <v>965955</v>
      </c>
      <c r="C405" s="21" t="s">
        <v>1383</v>
      </c>
      <c r="D405" s="21" t="s">
        <v>1384</v>
      </c>
      <c r="E405" s="21" t="s">
        <v>63</v>
      </c>
      <c r="F405" s="21" t="s">
        <v>227</v>
      </c>
      <c r="G405" s="21" t="s">
        <v>118</v>
      </c>
      <c r="H405" s="21" t="s">
        <v>88</v>
      </c>
      <c r="I405" s="21" t="s">
        <v>75</v>
      </c>
      <c r="J405" s="32">
        <v>155790.78</v>
      </c>
      <c r="K405" s="21" t="s">
        <v>70</v>
      </c>
      <c r="L405" s="33">
        <v>45428</v>
      </c>
      <c r="M405" s="21" t="s">
        <v>82</v>
      </c>
      <c r="N405" s="32">
        <v>1689624.8</v>
      </c>
      <c r="O405" s="21" t="s">
        <v>150</v>
      </c>
      <c r="P405" s="21" t="str">
        <f t="shared" si="36"/>
        <v>2024-05</v>
      </c>
      <c r="Q405" s="21">
        <f t="shared" si="37"/>
        <v>2024</v>
      </c>
      <c r="R405" s="34">
        <f t="shared" si="38"/>
        <v>45413</v>
      </c>
      <c r="S405" s="21">
        <f t="shared" si="39"/>
        <v>0</v>
      </c>
      <c r="T405" s="21" t="str">
        <f t="shared" si="40"/>
        <v>Card-Based</v>
      </c>
      <c r="U405" s="21" t="str">
        <f t="shared" si="41"/>
        <v>One-Time</v>
      </c>
    </row>
    <row r="406" spans="1:21" x14ac:dyDescent="0.3">
      <c r="A406" s="21" t="s">
        <v>1385</v>
      </c>
      <c r="B406" s="21">
        <v>118796</v>
      </c>
      <c r="C406" s="21" t="s">
        <v>1386</v>
      </c>
      <c r="D406" s="21" t="s">
        <v>1387</v>
      </c>
      <c r="E406" s="21" t="s">
        <v>63</v>
      </c>
      <c r="F406" s="21" t="s">
        <v>227</v>
      </c>
      <c r="G406" s="21" t="s">
        <v>118</v>
      </c>
      <c r="H406" s="21" t="s">
        <v>89</v>
      </c>
      <c r="I406" s="21" t="s">
        <v>77</v>
      </c>
      <c r="J406" s="32">
        <v>65204.76</v>
      </c>
      <c r="K406" s="21" t="s">
        <v>68</v>
      </c>
      <c r="L406" s="33">
        <v>45440</v>
      </c>
      <c r="M406" s="21" t="s">
        <v>80</v>
      </c>
      <c r="N406" s="32">
        <v>1799671.19</v>
      </c>
      <c r="O406" s="21" t="s">
        <v>150</v>
      </c>
      <c r="P406" s="21" t="str">
        <f t="shared" si="36"/>
        <v>2024-05</v>
      </c>
      <c r="Q406" s="21">
        <f t="shared" si="37"/>
        <v>2024</v>
      </c>
      <c r="R406" s="34">
        <f t="shared" si="38"/>
        <v>45413</v>
      </c>
      <c r="S406" s="21">
        <f t="shared" si="39"/>
        <v>0</v>
      </c>
      <c r="T406" s="21" t="str">
        <f t="shared" si="40"/>
        <v>Digital</v>
      </c>
      <c r="U406" s="21" t="str">
        <f t="shared" si="41"/>
        <v>One-Time</v>
      </c>
    </row>
    <row r="407" spans="1:21" x14ac:dyDescent="0.3">
      <c r="A407" s="21" t="s">
        <v>1388</v>
      </c>
      <c r="B407" s="21">
        <v>812461</v>
      </c>
      <c r="C407" s="21" t="s">
        <v>1389</v>
      </c>
      <c r="D407" s="21" t="s">
        <v>1390</v>
      </c>
      <c r="E407" s="21" t="s">
        <v>61</v>
      </c>
      <c r="F407" s="21" t="s">
        <v>364</v>
      </c>
      <c r="G407" s="21" t="s">
        <v>130</v>
      </c>
      <c r="H407" s="21" t="s">
        <v>87</v>
      </c>
      <c r="I407" s="21" t="s">
        <v>77</v>
      </c>
      <c r="J407" s="32">
        <v>99147.16</v>
      </c>
      <c r="K407" s="21" t="s">
        <v>69</v>
      </c>
      <c r="L407" s="33">
        <v>45354</v>
      </c>
      <c r="M407" s="21" t="s">
        <v>80</v>
      </c>
      <c r="N407" s="32">
        <v>1505998.48</v>
      </c>
      <c r="O407" s="21" t="s">
        <v>150</v>
      </c>
      <c r="P407" s="21" t="str">
        <f t="shared" si="36"/>
        <v>2024-03</v>
      </c>
      <c r="Q407" s="21">
        <f t="shared" si="37"/>
        <v>2024</v>
      </c>
      <c r="R407" s="34">
        <f t="shared" si="38"/>
        <v>45352</v>
      </c>
      <c r="S407" s="21">
        <f t="shared" si="39"/>
        <v>0</v>
      </c>
      <c r="T407" s="21" t="str">
        <f t="shared" si="40"/>
        <v>Card-Based</v>
      </c>
      <c r="U407" s="21" t="str">
        <f t="shared" si="41"/>
        <v>One-Time</v>
      </c>
    </row>
    <row r="408" spans="1:21" x14ac:dyDescent="0.3">
      <c r="A408" s="21" t="s">
        <v>1391</v>
      </c>
      <c r="B408" s="21">
        <v>655225</v>
      </c>
      <c r="C408" s="21" t="s">
        <v>1392</v>
      </c>
      <c r="D408" s="21" t="s">
        <v>1393</v>
      </c>
      <c r="E408" s="21" t="s">
        <v>61</v>
      </c>
      <c r="F408" s="21" t="s">
        <v>330</v>
      </c>
      <c r="G408" s="21" t="s">
        <v>121</v>
      </c>
      <c r="H408" s="21" t="s">
        <v>86</v>
      </c>
      <c r="I408" s="21" t="s">
        <v>78</v>
      </c>
      <c r="J408" s="32">
        <v>380588.13</v>
      </c>
      <c r="K408" s="21" t="s">
        <v>70</v>
      </c>
      <c r="L408" s="33">
        <v>45821</v>
      </c>
      <c r="M408" s="21" t="s">
        <v>80</v>
      </c>
      <c r="N408" s="32">
        <v>2102641.09</v>
      </c>
      <c r="O408" s="21" t="s">
        <v>150</v>
      </c>
      <c r="P408" s="21" t="str">
        <f t="shared" si="36"/>
        <v>2025-06</v>
      </c>
      <c r="Q408" s="21">
        <f t="shared" si="37"/>
        <v>2025</v>
      </c>
      <c r="R408" s="34">
        <f t="shared" si="38"/>
        <v>45809</v>
      </c>
      <c r="S408" s="21">
        <f t="shared" si="39"/>
        <v>0</v>
      </c>
      <c r="T408" s="21" t="str">
        <f t="shared" si="40"/>
        <v>Card-Based</v>
      </c>
      <c r="U408" s="21" t="str">
        <f t="shared" si="41"/>
        <v>One-Time</v>
      </c>
    </row>
    <row r="409" spans="1:21" x14ac:dyDescent="0.3">
      <c r="A409" s="21" t="s">
        <v>1394</v>
      </c>
      <c r="B409" s="21">
        <v>761846</v>
      </c>
      <c r="C409" s="21" t="s">
        <v>1395</v>
      </c>
      <c r="D409" s="21" t="s">
        <v>1396</v>
      </c>
      <c r="E409" s="21" t="s">
        <v>61</v>
      </c>
      <c r="F409" s="21" t="s">
        <v>195</v>
      </c>
      <c r="G409" s="21" t="s">
        <v>116</v>
      </c>
      <c r="H409" s="21" t="s">
        <v>87</v>
      </c>
      <c r="I409" s="21" t="s">
        <v>76</v>
      </c>
      <c r="J409" s="32">
        <v>15732.38</v>
      </c>
      <c r="K409" s="21" t="s">
        <v>72</v>
      </c>
      <c r="L409" s="33">
        <v>45366</v>
      </c>
      <c r="M409" s="21" t="s">
        <v>80</v>
      </c>
      <c r="N409" s="32">
        <v>1410079.97</v>
      </c>
      <c r="O409" s="21" t="s">
        <v>311</v>
      </c>
      <c r="P409" s="21" t="str">
        <f t="shared" si="36"/>
        <v>2024-03</v>
      </c>
      <c r="Q409" s="21">
        <f t="shared" si="37"/>
        <v>2024</v>
      </c>
      <c r="R409" s="34">
        <f t="shared" si="38"/>
        <v>45352</v>
      </c>
      <c r="S409" s="21">
        <f t="shared" si="39"/>
        <v>1</v>
      </c>
      <c r="T409" s="21" t="str">
        <f t="shared" si="40"/>
        <v>Cash-Based</v>
      </c>
      <c r="U409" s="21" t="str">
        <f t="shared" si="41"/>
        <v>One-Time</v>
      </c>
    </row>
    <row r="410" spans="1:21" x14ac:dyDescent="0.3">
      <c r="A410" s="21" t="s">
        <v>1397</v>
      </c>
      <c r="B410" s="21">
        <v>603602</v>
      </c>
      <c r="C410" s="21" t="s">
        <v>1398</v>
      </c>
      <c r="D410" s="21" t="s">
        <v>1399</v>
      </c>
      <c r="E410" s="21" t="s">
        <v>61</v>
      </c>
      <c r="F410" s="21" t="s">
        <v>330</v>
      </c>
      <c r="G410" s="21" t="s">
        <v>121</v>
      </c>
      <c r="H410" s="21" t="s">
        <v>87</v>
      </c>
      <c r="I410" s="21" t="s">
        <v>75</v>
      </c>
      <c r="J410" s="32">
        <v>66658.89</v>
      </c>
      <c r="K410" s="21" t="s">
        <v>70</v>
      </c>
      <c r="L410" s="33">
        <v>45264</v>
      </c>
      <c r="M410" s="21" t="s">
        <v>80</v>
      </c>
      <c r="N410" s="32">
        <v>846851.16</v>
      </c>
      <c r="O410" s="21" t="s">
        <v>150</v>
      </c>
      <c r="P410" s="21" t="str">
        <f t="shared" si="36"/>
        <v>2023-12</v>
      </c>
      <c r="Q410" s="21">
        <f t="shared" si="37"/>
        <v>2023</v>
      </c>
      <c r="R410" s="34">
        <f t="shared" si="38"/>
        <v>45261</v>
      </c>
      <c r="S410" s="21">
        <f t="shared" si="39"/>
        <v>0</v>
      </c>
      <c r="T410" s="21" t="str">
        <f t="shared" si="40"/>
        <v>Card-Based</v>
      </c>
      <c r="U410" s="21" t="str">
        <f t="shared" si="41"/>
        <v>One-Time</v>
      </c>
    </row>
    <row r="411" spans="1:21" x14ac:dyDescent="0.3">
      <c r="A411" s="21" t="s">
        <v>1400</v>
      </c>
      <c r="B411" s="21">
        <v>771785</v>
      </c>
      <c r="C411" s="21" t="s">
        <v>1401</v>
      </c>
      <c r="D411" s="21" t="s">
        <v>1402</v>
      </c>
      <c r="E411" s="21" t="s">
        <v>61</v>
      </c>
      <c r="F411" s="21" t="s">
        <v>154</v>
      </c>
      <c r="G411" s="21" t="s">
        <v>122</v>
      </c>
      <c r="H411" s="21" t="s">
        <v>88</v>
      </c>
      <c r="I411" s="21" t="s">
        <v>76</v>
      </c>
      <c r="J411" s="32">
        <v>15483.43</v>
      </c>
      <c r="K411" s="21" t="s">
        <v>68</v>
      </c>
      <c r="L411" s="33">
        <v>45459</v>
      </c>
      <c r="M411" s="21" t="s">
        <v>80</v>
      </c>
      <c r="N411" s="32">
        <v>338089.14</v>
      </c>
      <c r="O411" s="21" t="s">
        <v>150</v>
      </c>
      <c r="P411" s="21" t="str">
        <f t="shared" si="36"/>
        <v>2024-06</v>
      </c>
      <c r="Q411" s="21">
        <f t="shared" si="37"/>
        <v>2024</v>
      </c>
      <c r="R411" s="34">
        <f t="shared" si="38"/>
        <v>45444</v>
      </c>
      <c r="S411" s="21">
        <f t="shared" si="39"/>
        <v>0</v>
      </c>
      <c r="T411" s="21" t="str">
        <f t="shared" si="40"/>
        <v>Digital</v>
      </c>
      <c r="U411" s="21" t="str">
        <f t="shared" si="41"/>
        <v>One-Time</v>
      </c>
    </row>
    <row r="412" spans="1:21" x14ac:dyDescent="0.3">
      <c r="A412" s="21" t="s">
        <v>1403</v>
      </c>
      <c r="B412" s="21">
        <v>690698</v>
      </c>
      <c r="C412" s="21" t="s">
        <v>1404</v>
      </c>
      <c r="D412" s="21" t="s">
        <v>1405</v>
      </c>
      <c r="E412" s="21" t="s">
        <v>61</v>
      </c>
      <c r="F412" s="21" t="s">
        <v>154</v>
      </c>
      <c r="G412" s="21" t="s">
        <v>122</v>
      </c>
      <c r="H412" s="21" t="s">
        <v>89</v>
      </c>
      <c r="I412" s="21" t="s">
        <v>78</v>
      </c>
      <c r="J412" s="32">
        <v>188855.58</v>
      </c>
      <c r="K412" s="21" t="s">
        <v>70</v>
      </c>
      <c r="L412" s="33">
        <v>45738</v>
      </c>
      <c r="M412" s="21" t="s">
        <v>80</v>
      </c>
      <c r="N412" s="32">
        <v>1261486.8600000001</v>
      </c>
      <c r="O412" s="21" t="s">
        <v>150</v>
      </c>
      <c r="P412" s="21" t="str">
        <f t="shared" si="36"/>
        <v>2025-03</v>
      </c>
      <c r="Q412" s="21">
        <f t="shared" si="37"/>
        <v>2025</v>
      </c>
      <c r="R412" s="34">
        <f t="shared" si="38"/>
        <v>45717</v>
      </c>
      <c r="S412" s="21">
        <f t="shared" si="39"/>
        <v>0</v>
      </c>
      <c r="T412" s="21" t="str">
        <f t="shared" si="40"/>
        <v>Card-Based</v>
      </c>
      <c r="U412" s="21" t="str">
        <f t="shared" si="41"/>
        <v>One-Time</v>
      </c>
    </row>
    <row r="413" spans="1:21" x14ac:dyDescent="0.3">
      <c r="A413" s="21" t="s">
        <v>1406</v>
      </c>
      <c r="B413" s="21">
        <v>509024</v>
      </c>
      <c r="C413" s="21" t="s">
        <v>1407</v>
      </c>
      <c r="D413" s="21" t="s">
        <v>1408</v>
      </c>
      <c r="E413" s="21" t="s">
        <v>61</v>
      </c>
      <c r="F413" s="21" t="s">
        <v>364</v>
      </c>
      <c r="G413" s="21" t="s">
        <v>130</v>
      </c>
      <c r="H413" s="21" t="s">
        <v>89</v>
      </c>
      <c r="I413" s="21" t="s">
        <v>78</v>
      </c>
      <c r="J413" s="32">
        <v>360614.5</v>
      </c>
      <c r="K413" s="21" t="s">
        <v>72</v>
      </c>
      <c r="L413" s="33">
        <v>45365</v>
      </c>
      <c r="M413" s="21" t="s">
        <v>80</v>
      </c>
      <c r="N413" s="32">
        <v>2008641.96</v>
      </c>
      <c r="O413" s="21" t="s">
        <v>150</v>
      </c>
      <c r="P413" s="21" t="str">
        <f t="shared" si="36"/>
        <v>2024-03</v>
      </c>
      <c r="Q413" s="21">
        <f t="shared" si="37"/>
        <v>2024</v>
      </c>
      <c r="R413" s="34">
        <f t="shared" si="38"/>
        <v>45352</v>
      </c>
      <c r="S413" s="21">
        <f t="shared" si="39"/>
        <v>0</v>
      </c>
      <c r="T413" s="21" t="str">
        <f t="shared" si="40"/>
        <v>Cash-Based</v>
      </c>
      <c r="U413" s="21" t="str">
        <f t="shared" si="41"/>
        <v>One-Time</v>
      </c>
    </row>
    <row r="414" spans="1:21" x14ac:dyDescent="0.3">
      <c r="A414" s="21" t="s">
        <v>1409</v>
      </c>
      <c r="B414" s="21">
        <v>659674</v>
      </c>
      <c r="C414" s="21" t="s">
        <v>1410</v>
      </c>
      <c r="D414" s="21" t="s">
        <v>1411</v>
      </c>
      <c r="E414" s="21" t="s">
        <v>62</v>
      </c>
      <c r="F414" s="21" t="s">
        <v>199</v>
      </c>
      <c r="G414" s="21" t="s">
        <v>120</v>
      </c>
      <c r="H414" s="21" t="s">
        <v>87</v>
      </c>
      <c r="I414" s="21" t="s">
        <v>78</v>
      </c>
      <c r="J414" s="32">
        <v>473663.77</v>
      </c>
      <c r="K414" s="21" t="s">
        <v>69</v>
      </c>
      <c r="L414" s="33">
        <v>45806</v>
      </c>
      <c r="M414" s="21" t="s">
        <v>80</v>
      </c>
      <c r="N414" s="32">
        <v>1298379.1299999999</v>
      </c>
      <c r="O414" s="21" t="s">
        <v>150</v>
      </c>
      <c r="P414" s="21" t="str">
        <f t="shared" si="36"/>
        <v>2025-05</v>
      </c>
      <c r="Q414" s="21">
        <f t="shared" si="37"/>
        <v>2025</v>
      </c>
      <c r="R414" s="34">
        <f t="shared" si="38"/>
        <v>45778</v>
      </c>
      <c r="S414" s="21">
        <f t="shared" si="39"/>
        <v>0</v>
      </c>
      <c r="T414" s="21" t="str">
        <f t="shared" si="40"/>
        <v>Card-Based</v>
      </c>
      <c r="U414" s="21" t="str">
        <f t="shared" si="41"/>
        <v>One-Time</v>
      </c>
    </row>
    <row r="415" spans="1:21" x14ac:dyDescent="0.3">
      <c r="A415" s="21" t="s">
        <v>1412</v>
      </c>
      <c r="B415" s="21">
        <v>147203</v>
      </c>
      <c r="C415" s="21" t="s">
        <v>1413</v>
      </c>
      <c r="D415" s="21" t="s">
        <v>1414</v>
      </c>
      <c r="E415" s="21" t="s">
        <v>61</v>
      </c>
      <c r="F415" s="21" t="s">
        <v>330</v>
      </c>
      <c r="G415" s="21" t="s">
        <v>121</v>
      </c>
      <c r="H415" s="21" t="s">
        <v>86</v>
      </c>
      <c r="I415" s="21" t="s">
        <v>76</v>
      </c>
      <c r="J415" s="32">
        <v>98802.85</v>
      </c>
      <c r="K415" s="21" t="s">
        <v>68</v>
      </c>
      <c r="L415" s="33">
        <v>45401</v>
      </c>
      <c r="M415" s="21" t="s">
        <v>80</v>
      </c>
      <c r="N415" s="32">
        <v>2006752.03</v>
      </c>
      <c r="O415" s="21" t="s">
        <v>150</v>
      </c>
      <c r="P415" s="21" t="str">
        <f t="shared" si="36"/>
        <v>2024-04</v>
      </c>
      <c r="Q415" s="21">
        <f t="shared" si="37"/>
        <v>2024</v>
      </c>
      <c r="R415" s="34">
        <f t="shared" si="38"/>
        <v>45383</v>
      </c>
      <c r="S415" s="21">
        <f t="shared" si="39"/>
        <v>0</v>
      </c>
      <c r="T415" s="21" t="str">
        <f t="shared" si="40"/>
        <v>Digital</v>
      </c>
      <c r="U415" s="21" t="str">
        <f t="shared" si="41"/>
        <v>One-Time</v>
      </c>
    </row>
    <row r="416" spans="1:21" x14ac:dyDescent="0.3">
      <c r="A416" s="21" t="s">
        <v>1415</v>
      </c>
      <c r="B416" s="21">
        <v>780768</v>
      </c>
      <c r="C416" s="21" t="s">
        <v>1416</v>
      </c>
      <c r="D416" s="21" t="s">
        <v>1417</v>
      </c>
      <c r="E416" s="21" t="s">
        <v>63</v>
      </c>
      <c r="F416" s="21" t="s">
        <v>227</v>
      </c>
      <c r="G416" s="21" t="s">
        <v>118</v>
      </c>
      <c r="H416" s="21" t="s">
        <v>88</v>
      </c>
      <c r="I416" s="21" t="s">
        <v>76</v>
      </c>
      <c r="J416" s="32">
        <v>28863.24</v>
      </c>
      <c r="K416" s="21" t="s">
        <v>70</v>
      </c>
      <c r="L416" s="33">
        <v>45165</v>
      </c>
      <c r="M416" s="21" t="s">
        <v>80</v>
      </c>
      <c r="N416" s="32">
        <v>1761796.83</v>
      </c>
      <c r="O416" s="21" t="s">
        <v>150</v>
      </c>
      <c r="P416" s="21" t="str">
        <f t="shared" si="36"/>
        <v>2023-08</v>
      </c>
      <c r="Q416" s="21">
        <f t="shared" si="37"/>
        <v>2023</v>
      </c>
      <c r="R416" s="34">
        <f t="shared" si="38"/>
        <v>45139</v>
      </c>
      <c r="S416" s="21">
        <f t="shared" si="39"/>
        <v>0</v>
      </c>
      <c r="T416" s="21" t="str">
        <f t="shared" si="40"/>
        <v>Card-Based</v>
      </c>
      <c r="U416" s="21" t="str">
        <f t="shared" si="41"/>
        <v>One-Time</v>
      </c>
    </row>
    <row r="417" spans="1:21" x14ac:dyDescent="0.3">
      <c r="A417" s="21" t="s">
        <v>1418</v>
      </c>
      <c r="B417" s="21">
        <v>904317</v>
      </c>
      <c r="C417" s="21" t="s">
        <v>1419</v>
      </c>
      <c r="D417" s="21" t="s">
        <v>1420</v>
      </c>
      <c r="E417" s="21" t="s">
        <v>63</v>
      </c>
      <c r="F417" s="21" t="s">
        <v>255</v>
      </c>
      <c r="G417" s="21" t="s">
        <v>115</v>
      </c>
      <c r="H417" s="21" t="s">
        <v>87</v>
      </c>
      <c r="I417" s="21" t="s">
        <v>77</v>
      </c>
      <c r="J417" s="32">
        <v>75640.210000000006</v>
      </c>
      <c r="K417" s="21" t="s">
        <v>70</v>
      </c>
      <c r="L417" s="33">
        <v>45489</v>
      </c>
      <c r="M417" s="21" t="s">
        <v>80</v>
      </c>
      <c r="N417" s="32">
        <v>1696282.05</v>
      </c>
      <c r="O417" s="21" t="s">
        <v>150</v>
      </c>
      <c r="P417" s="21" t="str">
        <f t="shared" si="36"/>
        <v>2024-07</v>
      </c>
      <c r="Q417" s="21">
        <f t="shared" si="37"/>
        <v>2024</v>
      </c>
      <c r="R417" s="34">
        <f t="shared" si="38"/>
        <v>45474</v>
      </c>
      <c r="S417" s="21">
        <f t="shared" si="39"/>
        <v>0</v>
      </c>
      <c r="T417" s="21" t="str">
        <f t="shared" si="40"/>
        <v>Card-Based</v>
      </c>
      <c r="U417" s="21" t="str">
        <f t="shared" si="41"/>
        <v>One-Time</v>
      </c>
    </row>
    <row r="418" spans="1:21" x14ac:dyDescent="0.3">
      <c r="A418" s="21" t="s">
        <v>1421</v>
      </c>
      <c r="B418" s="21">
        <v>994371</v>
      </c>
      <c r="C418" s="21" t="s">
        <v>1422</v>
      </c>
      <c r="D418" s="21" t="s">
        <v>1423</v>
      </c>
      <c r="E418" s="21" t="s">
        <v>61</v>
      </c>
      <c r="F418" s="21" t="s">
        <v>279</v>
      </c>
      <c r="G418" s="21" t="s">
        <v>125</v>
      </c>
      <c r="H418" s="21" t="s">
        <v>86</v>
      </c>
      <c r="I418" s="21" t="s">
        <v>76</v>
      </c>
      <c r="J418" s="32">
        <v>25989.27</v>
      </c>
      <c r="K418" s="21" t="s">
        <v>69</v>
      </c>
      <c r="L418" s="33">
        <v>45727</v>
      </c>
      <c r="M418" s="21" t="s">
        <v>80</v>
      </c>
      <c r="N418" s="32">
        <v>1869459.68</v>
      </c>
      <c r="O418" s="21" t="s">
        <v>150</v>
      </c>
      <c r="P418" s="21" t="str">
        <f t="shared" si="36"/>
        <v>2025-03</v>
      </c>
      <c r="Q418" s="21">
        <f t="shared" si="37"/>
        <v>2025</v>
      </c>
      <c r="R418" s="34">
        <f t="shared" si="38"/>
        <v>45717</v>
      </c>
      <c r="S418" s="21">
        <f t="shared" si="39"/>
        <v>0</v>
      </c>
      <c r="T418" s="21" t="str">
        <f t="shared" si="40"/>
        <v>Card-Based</v>
      </c>
      <c r="U418" s="21" t="str">
        <f t="shared" si="41"/>
        <v>One-Time</v>
      </c>
    </row>
    <row r="419" spans="1:21" x14ac:dyDescent="0.3">
      <c r="A419" s="21" t="s">
        <v>1424</v>
      </c>
      <c r="B419" s="21">
        <v>544541</v>
      </c>
      <c r="C419" s="21" t="s">
        <v>1425</v>
      </c>
      <c r="D419" s="21" t="s">
        <v>1426</v>
      </c>
      <c r="E419" s="21" t="s">
        <v>63</v>
      </c>
      <c r="F419" s="21" t="s">
        <v>227</v>
      </c>
      <c r="G419" s="21" t="s">
        <v>118</v>
      </c>
      <c r="H419" s="21" t="s">
        <v>89</v>
      </c>
      <c r="I419" s="21" t="s">
        <v>78</v>
      </c>
      <c r="J419" s="32">
        <v>306077.19</v>
      </c>
      <c r="K419" s="21" t="s">
        <v>69</v>
      </c>
      <c r="L419" s="33">
        <v>45383</v>
      </c>
      <c r="M419" s="21" t="s">
        <v>80</v>
      </c>
      <c r="N419" s="32">
        <v>445276.17</v>
      </c>
      <c r="O419" s="21" t="s">
        <v>150</v>
      </c>
      <c r="P419" s="21" t="str">
        <f t="shared" si="36"/>
        <v>2024-04</v>
      </c>
      <c r="Q419" s="21">
        <f t="shared" si="37"/>
        <v>2024</v>
      </c>
      <c r="R419" s="34">
        <f t="shared" si="38"/>
        <v>45383</v>
      </c>
      <c r="S419" s="21">
        <f t="shared" si="39"/>
        <v>0</v>
      </c>
      <c r="T419" s="21" t="str">
        <f t="shared" si="40"/>
        <v>Card-Based</v>
      </c>
      <c r="U419" s="21" t="str">
        <f t="shared" si="41"/>
        <v>One-Time</v>
      </c>
    </row>
    <row r="420" spans="1:21" x14ac:dyDescent="0.3">
      <c r="A420" s="21" t="s">
        <v>1427</v>
      </c>
      <c r="B420" s="21">
        <v>814098</v>
      </c>
      <c r="C420" s="21" t="s">
        <v>1428</v>
      </c>
      <c r="D420" s="21" t="s">
        <v>1429</v>
      </c>
      <c r="E420" s="21" t="s">
        <v>61</v>
      </c>
      <c r="F420" s="21" t="s">
        <v>364</v>
      </c>
      <c r="G420" s="21" t="s">
        <v>130</v>
      </c>
      <c r="H420" s="21" t="s">
        <v>88</v>
      </c>
      <c r="I420" s="21" t="s">
        <v>75</v>
      </c>
      <c r="J420" s="32">
        <v>278744.09999999998</v>
      </c>
      <c r="K420" s="21" t="s">
        <v>70</v>
      </c>
      <c r="L420" s="33">
        <v>45373</v>
      </c>
      <c r="M420" s="21" t="s">
        <v>80</v>
      </c>
      <c r="N420" s="32">
        <v>946157.45</v>
      </c>
      <c r="O420" s="21" t="s">
        <v>150</v>
      </c>
      <c r="P420" s="21" t="str">
        <f t="shared" si="36"/>
        <v>2024-03</v>
      </c>
      <c r="Q420" s="21">
        <f t="shared" si="37"/>
        <v>2024</v>
      </c>
      <c r="R420" s="34">
        <f t="shared" si="38"/>
        <v>45352</v>
      </c>
      <c r="S420" s="21">
        <f t="shared" si="39"/>
        <v>0</v>
      </c>
      <c r="T420" s="21" t="str">
        <f t="shared" si="40"/>
        <v>Card-Based</v>
      </c>
      <c r="U420" s="21" t="str">
        <f t="shared" si="41"/>
        <v>One-Time</v>
      </c>
    </row>
    <row r="421" spans="1:21" x14ac:dyDescent="0.3">
      <c r="A421" s="21" t="s">
        <v>1430</v>
      </c>
      <c r="B421" s="21">
        <v>362469</v>
      </c>
      <c r="C421" s="21" t="s">
        <v>1431</v>
      </c>
      <c r="D421" s="21" t="s">
        <v>1432</v>
      </c>
      <c r="E421" s="21" t="s">
        <v>60</v>
      </c>
      <c r="F421" s="21" t="s">
        <v>166</v>
      </c>
      <c r="G421" s="21" t="s">
        <v>107</v>
      </c>
      <c r="H421" s="21" t="s">
        <v>87</v>
      </c>
      <c r="I421" s="21" t="s">
        <v>77</v>
      </c>
      <c r="J421" s="32">
        <v>19889.240000000002</v>
      </c>
      <c r="K421" s="21" t="s">
        <v>68</v>
      </c>
      <c r="L421" s="33">
        <v>45759</v>
      </c>
      <c r="M421" s="21" t="s">
        <v>80</v>
      </c>
      <c r="N421" s="32">
        <v>536984.80000000005</v>
      </c>
      <c r="O421" s="21" t="s">
        <v>150</v>
      </c>
      <c r="P421" s="21" t="str">
        <f t="shared" si="36"/>
        <v>2025-04</v>
      </c>
      <c r="Q421" s="21">
        <f t="shared" si="37"/>
        <v>2025</v>
      </c>
      <c r="R421" s="34">
        <f t="shared" si="38"/>
        <v>45748</v>
      </c>
      <c r="S421" s="21">
        <f t="shared" si="39"/>
        <v>0</v>
      </c>
      <c r="T421" s="21" t="str">
        <f t="shared" si="40"/>
        <v>Digital</v>
      </c>
      <c r="U421" s="21" t="str">
        <f t="shared" si="41"/>
        <v>One-Time</v>
      </c>
    </row>
    <row r="422" spans="1:21" x14ac:dyDescent="0.3">
      <c r="A422" s="21" t="s">
        <v>1433</v>
      </c>
      <c r="B422" s="21">
        <v>156651</v>
      </c>
      <c r="C422" s="21" t="s">
        <v>1434</v>
      </c>
      <c r="D422" s="21" t="s">
        <v>1435</v>
      </c>
      <c r="E422" s="21" t="s">
        <v>62</v>
      </c>
      <c r="F422" s="21" t="s">
        <v>199</v>
      </c>
      <c r="G422" s="21" t="s">
        <v>120</v>
      </c>
      <c r="H422" s="21" t="s">
        <v>89</v>
      </c>
      <c r="I422" s="21" t="s">
        <v>75</v>
      </c>
      <c r="J422" s="32">
        <v>211790.53</v>
      </c>
      <c r="K422" s="21" t="s">
        <v>72</v>
      </c>
      <c r="L422" s="33">
        <v>45205</v>
      </c>
      <c r="M422" s="21" t="s">
        <v>80</v>
      </c>
      <c r="N422" s="32">
        <v>2062458.03</v>
      </c>
      <c r="O422" s="21" t="s">
        <v>150</v>
      </c>
      <c r="P422" s="21" t="str">
        <f t="shared" si="36"/>
        <v>2023-10</v>
      </c>
      <c r="Q422" s="21">
        <f t="shared" si="37"/>
        <v>2023</v>
      </c>
      <c r="R422" s="34">
        <f t="shared" si="38"/>
        <v>45200</v>
      </c>
      <c r="S422" s="21">
        <f t="shared" si="39"/>
        <v>0</v>
      </c>
      <c r="T422" s="21" t="str">
        <f t="shared" si="40"/>
        <v>Cash-Based</v>
      </c>
      <c r="U422" s="21" t="str">
        <f t="shared" si="41"/>
        <v>One-Time</v>
      </c>
    </row>
    <row r="423" spans="1:21" x14ac:dyDescent="0.3">
      <c r="A423" s="21" t="s">
        <v>1436</v>
      </c>
      <c r="B423" s="21">
        <v>223991</v>
      </c>
      <c r="C423" s="21" t="s">
        <v>1437</v>
      </c>
      <c r="D423" s="21" t="s">
        <v>1438</v>
      </c>
      <c r="E423" s="21" t="s">
        <v>60</v>
      </c>
      <c r="F423" s="21" t="s">
        <v>173</v>
      </c>
      <c r="G423" s="21" t="s">
        <v>117</v>
      </c>
      <c r="H423" s="21" t="s">
        <v>88</v>
      </c>
      <c r="I423" s="21" t="s">
        <v>78</v>
      </c>
      <c r="J423" s="32">
        <v>419123.96</v>
      </c>
      <c r="K423" s="21" t="s">
        <v>72</v>
      </c>
      <c r="L423" s="33">
        <v>45753</v>
      </c>
      <c r="M423" s="21" t="s">
        <v>80</v>
      </c>
      <c r="N423" s="32">
        <v>718722.06</v>
      </c>
      <c r="O423" s="21" t="s">
        <v>150</v>
      </c>
      <c r="P423" s="21" t="str">
        <f t="shared" si="36"/>
        <v>2025-04</v>
      </c>
      <c r="Q423" s="21">
        <f t="shared" si="37"/>
        <v>2025</v>
      </c>
      <c r="R423" s="34">
        <f t="shared" si="38"/>
        <v>45748</v>
      </c>
      <c r="S423" s="21">
        <f t="shared" si="39"/>
        <v>0</v>
      </c>
      <c r="T423" s="21" t="str">
        <f t="shared" si="40"/>
        <v>Cash-Based</v>
      </c>
      <c r="U423" s="21" t="str">
        <f t="shared" si="41"/>
        <v>One-Time</v>
      </c>
    </row>
    <row r="424" spans="1:21" x14ac:dyDescent="0.3">
      <c r="A424" s="21" t="s">
        <v>1439</v>
      </c>
      <c r="B424" s="21">
        <v>381958</v>
      </c>
      <c r="C424" s="21" t="s">
        <v>1440</v>
      </c>
      <c r="D424" s="21" t="s">
        <v>1441</v>
      </c>
      <c r="E424" s="21" t="s">
        <v>62</v>
      </c>
      <c r="F424" s="21" t="s">
        <v>199</v>
      </c>
      <c r="G424" s="21" t="s">
        <v>120</v>
      </c>
      <c r="H424" s="21" t="s">
        <v>89</v>
      </c>
      <c r="I424" s="21" t="s">
        <v>75</v>
      </c>
      <c r="J424" s="32">
        <v>221952.99</v>
      </c>
      <c r="K424" s="21" t="s">
        <v>69</v>
      </c>
      <c r="L424" s="33">
        <v>45489</v>
      </c>
      <c r="M424" s="21" t="s">
        <v>80</v>
      </c>
      <c r="N424" s="32">
        <v>830174.31</v>
      </c>
      <c r="O424" s="21" t="s">
        <v>150</v>
      </c>
      <c r="P424" s="21" t="str">
        <f t="shared" si="36"/>
        <v>2024-07</v>
      </c>
      <c r="Q424" s="21">
        <f t="shared" si="37"/>
        <v>2024</v>
      </c>
      <c r="R424" s="34">
        <f t="shared" si="38"/>
        <v>45474</v>
      </c>
      <c r="S424" s="21">
        <f t="shared" si="39"/>
        <v>0</v>
      </c>
      <c r="T424" s="21" t="str">
        <f t="shared" si="40"/>
        <v>Card-Based</v>
      </c>
      <c r="U424" s="21" t="str">
        <f t="shared" si="41"/>
        <v>One-Time</v>
      </c>
    </row>
    <row r="425" spans="1:21" x14ac:dyDescent="0.3">
      <c r="A425" s="21" t="s">
        <v>1442</v>
      </c>
      <c r="B425" s="21">
        <v>888870</v>
      </c>
      <c r="C425" s="21" t="s">
        <v>1443</v>
      </c>
      <c r="D425" s="21" t="s">
        <v>1444</v>
      </c>
      <c r="E425" s="21" t="s">
        <v>63</v>
      </c>
      <c r="F425" s="21" t="s">
        <v>227</v>
      </c>
      <c r="G425" s="21" t="s">
        <v>118</v>
      </c>
      <c r="H425" s="21" t="s">
        <v>86</v>
      </c>
      <c r="I425" s="21" t="s">
        <v>78</v>
      </c>
      <c r="J425" s="32">
        <v>174567.42</v>
      </c>
      <c r="K425" s="21" t="s">
        <v>69</v>
      </c>
      <c r="L425" s="33">
        <v>45528</v>
      </c>
      <c r="M425" s="21" t="s">
        <v>80</v>
      </c>
      <c r="N425" s="32">
        <v>1043689.06</v>
      </c>
      <c r="O425" s="21" t="s">
        <v>150</v>
      </c>
      <c r="P425" s="21" t="str">
        <f t="shared" si="36"/>
        <v>2024-08</v>
      </c>
      <c r="Q425" s="21">
        <f t="shared" si="37"/>
        <v>2024</v>
      </c>
      <c r="R425" s="34">
        <f t="shared" si="38"/>
        <v>45505</v>
      </c>
      <c r="S425" s="21">
        <f t="shared" si="39"/>
        <v>0</v>
      </c>
      <c r="T425" s="21" t="str">
        <f t="shared" si="40"/>
        <v>Card-Based</v>
      </c>
      <c r="U425" s="21" t="str">
        <f t="shared" si="41"/>
        <v>One-Time</v>
      </c>
    </row>
    <row r="426" spans="1:21" x14ac:dyDescent="0.3">
      <c r="A426" s="21" t="s">
        <v>1445</v>
      </c>
      <c r="B426" s="21">
        <v>194074</v>
      </c>
      <c r="C426" s="21" t="s">
        <v>1446</v>
      </c>
      <c r="D426" s="21" t="s">
        <v>1447</v>
      </c>
      <c r="E426" s="21" t="s">
        <v>60</v>
      </c>
      <c r="F426" s="21" t="s">
        <v>173</v>
      </c>
      <c r="G426" s="21" t="s">
        <v>117</v>
      </c>
      <c r="H426" s="21" t="s">
        <v>89</v>
      </c>
      <c r="I426" s="21" t="s">
        <v>77</v>
      </c>
      <c r="J426" s="32">
        <v>34180.81</v>
      </c>
      <c r="K426" s="21" t="s">
        <v>72</v>
      </c>
      <c r="L426" s="33">
        <v>45229</v>
      </c>
      <c r="M426" s="21" t="s">
        <v>80</v>
      </c>
      <c r="N426" s="32">
        <v>821912.01</v>
      </c>
      <c r="O426" s="21" t="s">
        <v>150</v>
      </c>
      <c r="P426" s="21" t="str">
        <f t="shared" si="36"/>
        <v>2023-10</v>
      </c>
      <c r="Q426" s="21">
        <f t="shared" si="37"/>
        <v>2023</v>
      </c>
      <c r="R426" s="34">
        <f t="shared" si="38"/>
        <v>45200</v>
      </c>
      <c r="S426" s="21">
        <f t="shared" si="39"/>
        <v>0</v>
      </c>
      <c r="T426" s="21" t="str">
        <f t="shared" si="40"/>
        <v>Cash-Based</v>
      </c>
      <c r="U426" s="21" t="str">
        <f t="shared" si="41"/>
        <v>One-Time</v>
      </c>
    </row>
    <row r="427" spans="1:21" x14ac:dyDescent="0.3">
      <c r="A427" s="21" t="s">
        <v>1448</v>
      </c>
      <c r="B427" s="21">
        <v>870636</v>
      </c>
      <c r="C427" s="21" t="s">
        <v>1449</v>
      </c>
      <c r="D427" s="21" t="s">
        <v>1450</v>
      </c>
      <c r="E427" s="21" t="s">
        <v>64</v>
      </c>
      <c r="F427" s="21" t="s">
        <v>162</v>
      </c>
      <c r="G427" s="21" t="s">
        <v>114</v>
      </c>
      <c r="H427" s="21" t="s">
        <v>86</v>
      </c>
      <c r="I427" s="21" t="s">
        <v>78</v>
      </c>
      <c r="J427" s="32">
        <v>204879.07</v>
      </c>
      <c r="K427" s="21" t="s">
        <v>72</v>
      </c>
      <c r="L427" s="33">
        <v>45340</v>
      </c>
      <c r="M427" s="21" t="s">
        <v>80</v>
      </c>
      <c r="N427" s="32">
        <v>1860252.84</v>
      </c>
      <c r="O427" s="21" t="s">
        <v>150</v>
      </c>
      <c r="P427" s="21" t="str">
        <f t="shared" si="36"/>
        <v>2024-02</v>
      </c>
      <c r="Q427" s="21">
        <f t="shared" si="37"/>
        <v>2024</v>
      </c>
      <c r="R427" s="34">
        <f t="shared" si="38"/>
        <v>45323</v>
      </c>
      <c r="S427" s="21">
        <f t="shared" si="39"/>
        <v>0</v>
      </c>
      <c r="T427" s="21" t="str">
        <f t="shared" si="40"/>
        <v>Cash-Based</v>
      </c>
      <c r="U427" s="21" t="str">
        <f t="shared" si="41"/>
        <v>One-Time</v>
      </c>
    </row>
    <row r="428" spans="1:21" x14ac:dyDescent="0.3">
      <c r="A428" s="21" t="s">
        <v>1451</v>
      </c>
      <c r="B428" s="21">
        <v>417871</v>
      </c>
      <c r="C428" s="21" t="s">
        <v>1452</v>
      </c>
      <c r="D428" s="21" t="s">
        <v>1453</v>
      </c>
      <c r="E428" s="21" t="s">
        <v>60</v>
      </c>
      <c r="F428" s="21" t="s">
        <v>286</v>
      </c>
      <c r="G428" s="21" t="s">
        <v>124</v>
      </c>
      <c r="H428" s="21" t="s">
        <v>87</v>
      </c>
      <c r="I428" s="21" t="s">
        <v>76</v>
      </c>
      <c r="J428" s="32">
        <v>126048.15</v>
      </c>
      <c r="K428" s="21" t="s">
        <v>70</v>
      </c>
      <c r="L428" s="33">
        <v>45278</v>
      </c>
      <c r="M428" s="21" t="s">
        <v>80</v>
      </c>
      <c r="N428" s="32">
        <v>305126.23</v>
      </c>
      <c r="O428" s="21" t="s">
        <v>150</v>
      </c>
      <c r="P428" s="21" t="str">
        <f t="shared" si="36"/>
        <v>2023-12</v>
      </c>
      <c r="Q428" s="21">
        <f t="shared" si="37"/>
        <v>2023</v>
      </c>
      <c r="R428" s="34">
        <f t="shared" si="38"/>
        <v>45261</v>
      </c>
      <c r="S428" s="21">
        <f t="shared" si="39"/>
        <v>0</v>
      </c>
      <c r="T428" s="21" t="str">
        <f t="shared" si="40"/>
        <v>Card-Based</v>
      </c>
      <c r="U428" s="21" t="str">
        <f t="shared" si="41"/>
        <v>One-Time</v>
      </c>
    </row>
    <row r="429" spans="1:21" x14ac:dyDescent="0.3">
      <c r="A429" s="21" t="s">
        <v>1454</v>
      </c>
      <c r="B429" s="21">
        <v>514407</v>
      </c>
      <c r="C429" s="21" t="s">
        <v>1455</v>
      </c>
      <c r="D429" s="21" t="s">
        <v>1456</v>
      </c>
      <c r="E429" s="21" t="s">
        <v>63</v>
      </c>
      <c r="F429" s="21" t="s">
        <v>255</v>
      </c>
      <c r="G429" s="21" t="s">
        <v>115</v>
      </c>
      <c r="H429" s="21" t="s">
        <v>86</v>
      </c>
      <c r="I429" s="21" t="s">
        <v>75</v>
      </c>
      <c r="J429" s="32">
        <v>94591.93</v>
      </c>
      <c r="K429" s="21" t="s">
        <v>71</v>
      </c>
      <c r="L429" s="33">
        <v>45496</v>
      </c>
      <c r="M429" s="21" t="s">
        <v>80</v>
      </c>
      <c r="N429" s="32">
        <v>1580999.81</v>
      </c>
      <c r="O429" s="21" t="s">
        <v>150</v>
      </c>
      <c r="P429" s="21" t="str">
        <f t="shared" si="36"/>
        <v>2024-07</v>
      </c>
      <c r="Q429" s="21">
        <f t="shared" si="37"/>
        <v>2024</v>
      </c>
      <c r="R429" s="34">
        <f t="shared" si="38"/>
        <v>45474</v>
      </c>
      <c r="S429" s="21">
        <f t="shared" si="39"/>
        <v>0</v>
      </c>
      <c r="T429" s="21" t="str">
        <f t="shared" si="40"/>
        <v>Digital</v>
      </c>
      <c r="U429" s="21" t="str">
        <f t="shared" si="41"/>
        <v>One-Time</v>
      </c>
    </row>
    <row r="430" spans="1:21" x14ac:dyDescent="0.3">
      <c r="A430" s="21" t="s">
        <v>1457</v>
      </c>
      <c r="B430" s="21">
        <v>356658</v>
      </c>
      <c r="C430" s="21" t="s">
        <v>1458</v>
      </c>
      <c r="D430" s="21" t="s">
        <v>1459</v>
      </c>
      <c r="E430" s="21" t="s">
        <v>63</v>
      </c>
      <c r="F430" s="21" t="s">
        <v>223</v>
      </c>
      <c r="G430" s="21" t="s">
        <v>129</v>
      </c>
      <c r="H430" s="21" t="s">
        <v>86</v>
      </c>
      <c r="I430" s="21" t="s">
        <v>78</v>
      </c>
      <c r="J430" s="32">
        <v>40155.279999999999</v>
      </c>
      <c r="K430" s="21" t="s">
        <v>70</v>
      </c>
      <c r="L430" s="33">
        <v>45204</v>
      </c>
      <c r="M430" s="21" t="s">
        <v>80</v>
      </c>
      <c r="N430" s="32">
        <v>527727.55000000005</v>
      </c>
      <c r="O430" s="21" t="s">
        <v>150</v>
      </c>
      <c r="P430" s="21" t="str">
        <f t="shared" si="36"/>
        <v>2023-10</v>
      </c>
      <c r="Q430" s="21">
        <f t="shared" si="37"/>
        <v>2023</v>
      </c>
      <c r="R430" s="34">
        <f t="shared" si="38"/>
        <v>45200</v>
      </c>
      <c r="S430" s="21">
        <f t="shared" si="39"/>
        <v>0</v>
      </c>
      <c r="T430" s="21" t="str">
        <f t="shared" si="40"/>
        <v>Card-Based</v>
      </c>
      <c r="U430" s="21" t="str">
        <f t="shared" si="41"/>
        <v>One-Time</v>
      </c>
    </row>
    <row r="431" spans="1:21" x14ac:dyDescent="0.3">
      <c r="A431" s="21" t="s">
        <v>1460</v>
      </c>
      <c r="B431" s="21">
        <v>256689</v>
      </c>
      <c r="C431" s="21" t="s">
        <v>1461</v>
      </c>
      <c r="D431" s="21" t="s">
        <v>1462</v>
      </c>
      <c r="E431" s="21" t="s">
        <v>60</v>
      </c>
      <c r="F431" s="21" t="s">
        <v>203</v>
      </c>
      <c r="G431" s="21" t="s">
        <v>128</v>
      </c>
      <c r="H431" s="21" t="s">
        <v>87</v>
      </c>
      <c r="I431" s="21" t="s">
        <v>78</v>
      </c>
      <c r="J431" s="32">
        <v>269846.56</v>
      </c>
      <c r="K431" s="21" t="s">
        <v>70</v>
      </c>
      <c r="L431" s="33">
        <v>45168</v>
      </c>
      <c r="M431" s="21" t="s">
        <v>80</v>
      </c>
      <c r="N431" s="32">
        <v>1057833.83</v>
      </c>
      <c r="O431" s="21" t="s">
        <v>150</v>
      </c>
      <c r="P431" s="21" t="str">
        <f t="shared" si="36"/>
        <v>2023-08</v>
      </c>
      <c r="Q431" s="21">
        <f t="shared" si="37"/>
        <v>2023</v>
      </c>
      <c r="R431" s="34">
        <f t="shared" si="38"/>
        <v>45139</v>
      </c>
      <c r="S431" s="21">
        <f t="shared" si="39"/>
        <v>0</v>
      </c>
      <c r="T431" s="21" t="str">
        <f t="shared" si="40"/>
        <v>Card-Based</v>
      </c>
      <c r="U431" s="21" t="str">
        <f t="shared" si="41"/>
        <v>One-Time</v>
      </c>
    </row>
    <row r="432" spans="1:21" x14ac:dyDescent="0.3">
      <c r="A432" s="21" t="s">
        <v>1463</v>
      </c>
      <c r="B432" s="21">
        <v>172968</v>
      </c>
      <c r="C432" s="21" t="s">
        <v>1464</v>
      </c>
      <c r="D432" s="21" t="s">
        <v>1465</v>
      </c>
      <c r="E432" s="21" t="s">
        <v>63</v>
      </c>
      <c r="F432" s="21" t="s">
        <v>207</v>
      </c>
      <c r="G432" s="21" t="s">
        <v>127</v>
      </c>
      <c r="H432" s="21" t="s">
        <v>89</v>
      </c>
      <c r="I432" s="21" t="s">
        <v>75</v>
      </c>
      <c r="J432" s="32">
        <v>6453.41</v>
      </c>
      <c r="K432" s="21" t="s">
        <v>72</v>
      </c>
      <c r="L432" s="33">
        <v>45549</v>
      </c>
      <c r="M432" s="21" t="s">
        <v>80</v>
      </c>
      <c r="N432" s="32">
        <v>1260667.3500000001</v>
      </c>
      <c r="O432" s="21" t="s">
        <v>150</v>
      </c>
      <c r="P432" s="21" t="str">
        <f t="shared" si="36"/>
        <v>2024-09</v>
      </c>
      <c r="Q432" s="21">
        <f t="shared" si="37"/>
        <v>2024</v>
      </c>
      <c r="R432" s="34">
        <f t="shared" si="38"/>
        <v>45536</v>
      </c>
      <c r="S432" s="21">
        <f t="shared" si="39"/>
        <v>0</v>
      </c>
      <c r="T432" s="21" t="str">
        <f t="shared" si="40"/>
        <v>Cash-Based</v>
      </c>
      <c r="U432" s="21" t="str">
        <f t="shared" si="41"/>
        <v>One-Time</v>
      </c>
    </row>
    <row r="433" spans="1:21" x14ac:dyDescent="0.3">
      <c r="A433" s="21" t="s">
        <v>1466</v>
      </c>
      <c r="B433" s="21">
        <v>473572</v>
      </c>
      <c r="C433" s="21" t="s">
        <v>1467</v>
      </c>
      <c r="D433" s="21" t="s">
        <v>1468</v>
      </c>
      <c r="E433" s="21" t="s">
        <v>64</v>
      </c>
      <c r="F433" s="21" t="s">
        <v>177</v>
      </c>
      <c r="G433" s="21" t="s">
        <v>113</v>
      </c>
      <c r="H433" s="21" t="s">
        <v>87</v>
      </c>
      <c r="I433" s="21" t="s">
        <v>78</v>
      </c>
      <c r="J433" s="32">
        <v>378135.91</v>
      </c>
      <c r="K433" s="21" t="s">
        <v>71</v>
      </c>
      <c r="L433" s="33">
        <v>45630</v>
      </c>
      <c r="M433" s="21" t="s">
        <v>80</v>
      </c>
      <c r="N433" s="32">
        <v>460516.67</v>
      </c>
      <c r="O433" s="21" t="s">
        <v>150</v>
      </c>
      <c r="P433" s="21" t="str">
        <f t="shared" si="36"/>
        <v>2024-12</v>
      </c>
      <c r="Q433" s="21">
        <f t="shared" si="37"/>
        <v>2024</v>
      </c>
      <c r="R433" s="34">
        <f t="shared" si="38"/>
        <v>45627</v>
      </c>
      <c r="S433" s="21">
        <f t="shared" si="39"/>
        <v>0</v>
      </c>
      <c r="T433" s="21" t="str">
        <f t="shared" si="40"/>
        <v>Digital</v>
      </c>
      <c r="U433" s="21" t="str">
        <f t="shared" si="41"/>
        <v>One-Time</v>
      </c>
    </row>
    <row r="434" spans="1:21" x14ac:dyDescent="0.3">
      <c r="A434" s="21" t="s">
        <v>1469</v>
      </c>
      <c r="B434" s="21">
        <v>727196</v>
      </c>
      <c r="C434" s="21" t="s">
        <v>1470</v>
      </c>
      <c r="D434" s="21" t="s">
        <v>1471</v>
      </c>
      <c r="E434" s="21" t="s">
        <v>60</v>
      </c>
      <c r="F434" s="21" t="s">
        <v>286</v>
      </c>
      <c r="G434" s="21" t="s">
        <v>124</v>
      </c>
      <c r="H434" s="21" t="s">
        <v>88</v>
      </c>
      <c r="I434" s="21" t="s">
        <v>75</v>
      </c>
      <c r="J434" s="32">
        <v>162015.07</v>
      </c>
      <c r="K434" s="21" t="s">
        <v>71</v>
      </c>
      <c r="L434" s="33">
        <v>45289</v>
      </c>
      <c r="M434" s="21" t="s">
        <v>82</v>
      </c>
      <c r="N434" s="32">
        <v>2062704.01</v>
      </c>
      <c r="O434" s="21" t="s">
        <v>150</v>
      </c>
      <c r="P434" s="21" t="str">
        <f t="shared" si="36"/>
        <v>2023-12</v>
      </c>
      <c r="Q434" s="21">
        <f t="shared" si="37"/>
        <v>2023</v>
      </c>
      <c r="R434" s="34">
        <f t="shared" si="38"/>
        <v>45261</v>
      </c>
      <c r="S434" s="21">
        <f t="shared" si="39"/>
        <v>0</v>
      </c>
      <c r="T434" s="21" t="str">
        <f t="shared" si="40"/>
        <v>Digital</v>
      </c>
      <c r="U434" s="21" t="str">
        <f t="shared" si="41"/>
        <v>One-Time</v>
      </c>
    </row>
    <row r="435" spans="1:21" x14ac:dyDescent="0.3">
      <c r="A435" s="21" t="s">
        <v>1472</v>
      </c>
      <c r="B435" s="21">
        <v>310437</v>
      </c>
      <c r="C435" s="21" t="s">
        <v>1473</v>
      </c>
      <c r="D435" s="21" t="s">
        <v>1474</v>
      </c>
      <c r="E435" s="21" t="s">
        <v>61</v>
      </c>
      <c r="F435" s="21" t="s">
        <v>330</v>
      </c>
      <c r="G435" s="21" t="s">
        <v>121</v>
      </c>
      <c r="H435" s="21" t="s">
        <v>88</v>
      </c>
      <c r="I435" s="21" t="s">
        <v>75</v>
      </c>
      <c r="J435" s="32">
        <v>86822.48</v>
      </c>
      <c r="K435" s="21" t="s">
        <v>70</v>
      </c>
      <c r="L435" s="33">
        <v>45711</v>
      </c>
      <c r="M435" s="21" t="s">
        <v>80</v>
      </c>
      <c r="N435" s="32">
        <v>1212113.4099999999</v>
      </c>
      <c r="O435" s="21" t="s">
        <v>150</v>
      </c>
      <c r="P435" s="21" t="str">
        <f t="shared" si="36"/>
        <v>2025-02</v>
      </c>
      <c r="Q435" s="21">
        <f t="shared" si="37"/>
        <v>2025</v>
      </c>
      <c r="R435" s="34">
        <f t="shared" si="38"/>
        <v>45689</v>
      </c>
      <c r="S435" s="21">
        <f t="shared" si="39"/>
        <v>0</v>
      </c>
      <c r="T435" s="21" t="str">
        <f t="shared" si="40"/>
        <v>Card-Based</v>
      </c>
      <c r="U435" s="21" t="str">
        <f t="shared" si="41"/>
        <v>One-Time</v>
      </c>
    </row>
    <row r="436" spans="1:21" x14ac:dyDescent="0.3">
      <c r="A436" s="21" t="s">
        <v>1475</v>
      </c>
      <c r="B436" s="21">
        <v>446826</v>
      </c>
      <c r="C436" s="21" t="s">
        <v>1476</v>
      </c>
      <c r="D436" s="21" t="s">
        <v>1477</v>
      </c>
      <c r="E436" s="21" t="s">
        <v>60</v>
      </c>
      <c r="F436" s="21" t="s">
        <v>286</v>
      </c>
      <c r="G436" s="21" t="s">
        <v>124</v>
      </c>
      <c r="H436" s="21" t="s">
        <v>89</v>
      </c>
      <c r="I436" s="21" t="s">
        <v>77</v>
      </c>
      <c r="J436" s="32">
        <v>27058.35</v>
      </c>
      <c r="K436" s="21" t="s">
        <v>72</v>
      </c>
      <c r="L436" s="33">
        <v>45345</v>
      </c>
      <c r="M436" s="21" t="s">
        <v>80</v>
      </c>
      <c r="N436" s="32">
        <v>233863.72</v>
      </c>
      <c r="O436" s="21" t="s">
        <v>150</v>
      </c>
      <c r="P436" s="21" t="str">
        <f t="shared" si="36"/>
        <v>2024-02</v>
      </c>
      <c r="Q436" s="21">
        <f t="shared" si="37"/>
        <v>2024</v>
      </c>
      <c r="R436" s="34">
        <f t="shared" si="38"/>
        <v>45323</v>
      </c>
      <c r="S436" s="21">
        <f t="shared" si="39"/>
        <v>0</v>
      </c>
      <c r="T436" s="21" t="str">
        <f t="shared" si="40"/>
        <v>Cash-Based</v>
      </c>
      <c r="U436" s="21" t="str">
        <f t="shared" si="41"/>
        <v>One-Time</v>
      </c>
    </row>
    <row r="437" spans="1:21" x14ac:dyDescent="0.3">
      <c r="A437" s="21" t="s">
        <v>1478</v>
      </c>
      <c r="B437" s="21">
        <v>330179</v>
      </c>
      <c r="C437" s="21" t="s">
        <v>1479</v>
      </c>
      <c r="D437" s="21" t="s">
        <v>1480</v>
      </c>
      <c r="E437" s="21" t="s">
        <v>64</v>
      </c>
      <c r="F437" s="21" t="s">
        <v>177</v>
      </c>
      <c r="G437" s="21" t="s">
        <v>113</v>
      </c>
      <c r="H437" s="21" t="s">
        <v>86</v>
      </c>
      <c r="I437" s="21" t="s">
        <v>77</v>
      </c>
      <c r="J437" s="32">
        <v>86561.53</v>
      </c>
      <c r="K437" s="21" t="s">
        <v>70</v>
      </c>
      <c r="L437" s="33">
        <v>45279</v>
      </c>
      <c r="M437" s="21" t="s">
        <v>80</v>
      </c>
      <c r="N437" s="32">
        <v>1697759.69</v>
      </c>
      <c r="O437" s="21" t="s">
        <v>150</v>
      </c>
      <c r="P437" s="21" t="str">
        <f t="shared" si="36"/>
        <v>2023-12</v>
      </c>
      <c r="Q437" s="21">
        <f t="shared" si="37"/>
        <v>2023</v>
      </c>
      <c r="R437" s="34">
        <f t="shared" si="38"/>
        <v>45261</v>
      </c>
      <c r="S437" s="21">
        <f t="shared" si="39"/>
        <v>0</v>
      </c>
      <c r="T437" s="21" t="str">
        <f t="shared" si="40"/>
        <v>Card-Based</v>
      </c>
      <c r="U437" s="21" t="str">
        <f t="shared" si="41"/>
        <v>One-Time</v>
      </c>
    </row>
    <row r="438" spans="1:21" x14ac:dyDescent="0.3">
      <c r="A438" s="21" t="s">
        <v>1481</v>
      </c>
      <c r="B438" s="21">
        <v>129665</v>
      </c>
      <c r="C438" s="21" t="s">
        <v>1482</v>
      </c>
      <c r="D438" s="21" t="s">
        <v>1483</v>
      </c>
      <c r="E438" s="21" t="s">
        <v>63</v>
      </c>
      <c r="F438" s="21" t="s">
        <v>227</v>
      </c>
      <c r="G438" s="21" t="s">
        <v>118</v>
      </c>
      <c r="H438" s="21" t="s">
        <v>86</v>
      </c>
      <c r="I438" s="21" t="s">
        <v>77</v>
      </c>
      <c r="J438" s="32">
        <v>110972.64</v>
      </c>
      <c r="K438" s="21" t="s">
        <v>69</v>
      </c>
      <c r="L438" s="33">
        <v>45259</v>
      </c>
      <c r="M438" s="21" t="s">
        <v>80</v>
      </c>
      <c r="N438" s="32">
        <v>1801082.85</v>
      </c>
      <c r="O438" s="21" t="s">
        <v>150</v>
      </c>
      <c r="P438" s="21" t="str">
        <f t="shared" si="36"/>
        <v>2023-11</v>
      </c>
      <c r="Q438" s="21">
        <f t="shared" si="37"/>
        <v>2023</v>
      </c>
      <c r="R438" s="34">
        <f t="shared" si="38"/>
        <v>45231</v>
      </c>
      <c r="S438" s="21">
        <f t="shared" si="39"/>
        <v>0</v>
      </c>
      <c r="T438" s="21" t="str">
        <f t="shared" si="40"/>
        <v>Card-Based</v>
      </c>
      <c r="U438" s="21" t="str">
        <f t="shared" si="41"/>
        <v>One-Time</v>
      </c>
    </row>
    <row r="439" spans="1:21" x14ac:dyDescent="0.3">
      <c r="A439" s="21" t="s">
        <v>1484</v>
      </c>
      <c r="B439" s="21">
        <v>366999</v>
      </c>
      <c r="C439" s="21" t="s">
        <v>1485</v>
      </c>
      <c r="D439" s="21" t="s">
        <v>1486</v>
      </c>
      <c r="E439" s="21" t="s">
        <v>60</v>
      </c>
      <c r="F439" s="21" t="s">
        <v>286</v>
      </c>
      <c r="G439" s="21" t="s">
        <v>124</v>
      </c>
      <c r="H439" s="21" t="s">
        <v>89</v>
      </c>
      <c r="I439" s="21" t="s">
        <v>75</v>
      </c>
      <c r="J439" s="32">
        <v>6574.26</v>
      </c>
      <c r="K439" s="21" t="s">
        <v>72</v>
      </c>
      <c r="L439" s="33">
        <v>45559</v>
      </c>
      <c r="M439" s="21" t="s">
        <v>80</v>
      </c>
      <c r="N439" s="32">
        <v>592520.64</v>
      </c>
      <c r="O439" s="21" t="s">
        <v>150</v>
      </c>
      <c r="P439" s="21" t="str">
        <f t="shared" si="36"/>
        <v>2024-09</v>
      </c>
      <c r="Q439" s="21">
        <f t="shared" si="37"/>
        <v>2024</v>
      </c>
      <c r="R439" s="34">
        <f t="shared" si="38"/>
        <v>45536</v>
      </c>
      <c r="S439" s="21">
        <f t="shared" si="39"/>
        <v>0</v>
      </c>
      <c r="T439" s="21" t="str">
        <f t="shared" si="40"/>
        <v>Cash-Based</v>
      </c>
      <c r="U439" s="21" t="str">
        <f t="shared" si="41"/>
        <v>One-Time</v>
      </c>
    </row>
    <row r="440" spans="1:21" x14ac:dyDescent="0.3">
      <c r="A440" s="21" t="s">
        <v>1487</v>
      </c>
      <c r="B440" s="21">
        <v>552388</v>
      </c>
      <c r="C440" s="21" t="s">
        <v>1488</v>
      </c>
      <c r="D440" s="21" t="s">
        <v>1489</v>
      </c>
      <c r="E440" s="21" t="s">
        <v>60</v>
      </c>
      <c r="F440" s="21" t="s">
        <v>149</v>
      </c>
      <c r="G440" s="21" t="s">
        <v>119</v>
      </c>
      <c r="H440" s="21" t="s">
        <v>86</v>
      </c>
      <c r="I440" s="21" t="s">
        <v>76</v>
      </c>
      <c r="J440" s="32">
        <v>195381.64</v>
      </c>
      <c r="K440" s="21" t="s">
        <v>69</v>
      </c>
      <c r="L440" s="33">
        <v>45478</v>
      </c>
      <c r="M440" s="21" t="s">
        <v>80</v>
      </c>
      <c r="N440" s="32">
        <v>1149629.3799999999</v>
      </c>
      <c r="O440" s="21" t="s">
        <v>150</v>
      </c>
      <c r="P440" s="21" t="str">
        <f t="shared" si="36"/>
        <v>2024-07</v>
      </c>
      <c r="Q440" s="21">
        <f t="shared" si="37"/>
        <v>2024</v>
      </c>
      <c r="R440" s="34">
        <f t="shared" si="38"/>
        <v>45474</v>
      </c>
      <c r="S440" s="21">
        <f t="shared" si="39"/>
        <v>0</v>
      </c>
      <c r="T440" s="21" t="str">
        <f t="shared" si="40"/>
        <v>Card-Based</v>
      </c>
      <c r="U440" s="21" t="str">
        <f t="shared" si="41"/>
        <v>One-Time</v>
      </c>
    </row>
    <row r="441" spans="1:21" x14ac:dyDescent="0.3">
      <c r="A441" s="21" t="s">
        <v>1490</v>
      </c>
      <c r="B441" s="21">
        <v>523936</v>
      </c>
      <c r="C441" s="21" t="s">
        <v>1491</v>
      </c>
      <c r="D441" s="21" t="s">
        <v>1492</v>
      </c>
      <c r="E441" s="21" t="s">
        <v>63</v>
      </c>
      <c r="F441" s="21" t="s">
        <v>207</v>
      </c>
      <c r="G441" s="21" t="s">
        <v>127</v>
      </c>
      <c r="H441" s="21" t="s">
        <v>86</v>
      </c>
      <c r="I441" s="21" t="s">
        <v>75</v>
      </c>
      <c r="J441" s="32">
        <v>34140.730000000003</v>
      </c>
      <c r="K441" s="21" t="s">
        <v>69</v>
      </c>
      <c r="L441" s="33">
        <v>45288</v>
      </c>
      <c r="M441" s="21" t="s">
        <v>83</v>
      </c>
      <c r="N441" s="32">
        <v>1510625.24</v>
      </c>
      <c r="O441" s="21" t="s">
        <v>150</v>
      </c>
      <c r="P441" s="21" t="str">
        <f t="shared" si="36"/>
        <v>2023-12</v>
      </c>
      <c r="Q441" s="21">
        <f t="shared" si="37"/>
        <v>2023</v>
      </c>
      <c r="R441" s="34">
        <f t="shared" si="38"/>
        <v>45261</v>
      </c>
      <c r="S441" s="21">
        <f t="shared" si="39"/>
        <v>0</v>
      </c>
      <c r="T441" s="21" t="str">
        <f t="shared" si="40"/>
        <v>Card-Based</v>
      </c>
      <c r="U441" s="21" t="str">
        <f t="shared" si="41"/>
        <v>One-Time</v>
      </c>
    </row>
    <row r="442" spans="1:21" x14ac:dyDescent="0.3">
      <c r="A442" s="21" t="s">
        <v>1493</v>
      </c>
      <c r="B442" s="21">
        <v>454612</v>
      </c>
      <c r="C442" s="21" t="s">
        <v>1494</v>
      </c>
      <c r="D442" s="21" t="s">
        <v>1495</v>
      </c>
      <c r="E442" s="21" t="s">
        <v>63</v>
      </c>
      <c r="F442" s="21" t="s">
        <v>293</v>
      </c>
      <c r="G442" s="21" t="s">
        <v>126</v>
      </c>
      <c r="H442" s="21" t="s">
        <v>88</v>
      </c>
      <c r="I442" s="21" t="s">
        <v>76</v>
      </c>
      <c r="J442" s="32">
        <v>413815.24</v>
      </c>
      <c r="K442" s="21" t="s">
        <v>72</v>
      </c>
      <c r="L442" s="33">
        <v>45403</v>
      </c>
      <c r="M442" s="21" t="s">
        <v>83</v>
      </c>
      <c r="N442" s="32">
        <v>1653549.79</v>
      </c>
      <c r="O442" s="21" t="s">
        <v>150</v>
      </c>
      <c r="P442" s="21" t="str">
        <f t="shared" si="36"/>
        <v>2024-04</v>
      </c>
      <c r="Q442" s="21">
        <f t="shared" si="37"/>
        <v>2024</v>
      </c>
      <c r="R442" s="34">
        <f t="shared" si="38"/>
        <v>45383</v>
      </c>
      <c r="S442" s="21">
        <f t="shared" si="39"/>
        <v>0</v>
      </c>
      <c r="T442" s="21" t="str">
        <f t="shared" si="40"/>
        <v>Cash-Based</v>
      </c>
      <c r="U442" s="21" t="str">
        <f t="shared" si="41"/>
        <v>One-Time</v>
      </c>
    </row>
    <row r="443" spans="1:21" x14ac:dyDescent="0.3">
      <c r="A443" s="21" t="s">
        <v>1496</v>
      </c>
      <c r="B443" s="21">
        <v>222331</v>
      </c>
      <c r="C443" s="21" t="s">
        <v>1497</v>
      </c>
      <c r="D443" s="21" t="s">
        <v>1498</v>
      </c>
      <c r="E443" s="21" t="s">
        <v>61</v>
      </c>
      <c r="F443" s="21" t="s">
        <v>195</v>
      </c>
      <c r="G443" s="21" t="s">
        <v>116</v>
      </c>
      <c r="H443" s="21" t="s">
        <v>87</v>
      </c>
      <c r="I443" s="21" t="s">
        <v>78</v>
      </c>
      <c r="J443" s="32">
        <v>498951.58</v>
      </c>
      <c r="K443" s="21" t="s">
        <v>71</v>
      </c>
      <c r="L443" s="33">
        <v>45304</v>
      </c>
      <c r="M443" s="21" t="s">
        <v>80</v>
      </c>
      <c r="N443" s="32">
        <v>1249983.6100000001</v>
      </c>
      <c r="O443" s="21" t="s">
        <v>150</v>
      </c>
      <c r="P443" s="21" t="str">
        <f t="shared" si="36"/>
        <v>2024-01</v>
      </c>
      <c r="Q443" s="21">
        <f t="shared" si="37"/>
        <v>2024</v>
      </c>
      <c r="R443" s="34">
        <f t="shared" si="38"/>
        <v>45292</v>
      </c>
      <c r="S443" s="21">
        <f t="shared" si="39"/>
        <v>0</v>
      </c>
      <c r="T443" s="21" t="str">
        <f t="shared" si="40"/>
        <v>Digital</v>
      </c>
      <c r="U443" s="21" t="str">
        <f t="shared" si="41"/>
        <v>One-Time</v>
      </c>
    </row>
    <row r="444" spans="1:21" x14ac:dyDescent="0.3">
      <c r="A444" s="21" t="s">
        <v>1499</v>
      </c>
      <c r="B444" s="21">
        <v>457761</v>
      </c>
      <c r="C444" s="21" t="s">
        <v>1500</v>
      </c>
      <c r="D444" s="21" t="s">
        <v>1501</v>
      </c>
      <c r="E444" s="21" t="s">
        <v>64</v>
      </c>
      <c r="F444" s="21" t="s">
        <v>188</v>
      </c>
      <c r="G444" s="21" t="s">
        <v>112</v>
      </c>
      <c r="H444" s="21" t="s">
        <v>86</v>
      </c>
      <c r="I444" s="21" t="s">
        <v>78</v>
      </c>
      <c r="J444" s="32">
        <v>500321.81</v>
      </c>
      <c r="K444" s="21" t="s">
        <v>69</v>
      </c>
      <c r="L444" s="33">
        <v>45612</v>
      </c>
      <c r="M444" s="21" t="s">
        <v>80</v>
      </c>
      <c r="N444" s="32">
        <v>1182670.67</v>
      </c>
      <c r="O444" s="21" t="s">
        <v>150</v>
      </c>
      <c r="P444" s="21" t="str">
        <f t="shared" si="36"/>
        <v>2024-11</v>
      </c>
      <c r="Q444" s="21">
        <f t="shared" si="37"/>
        <v>2024</v>
      </c>
      <c r="R444" s="34">
        <f t="shared" si="38"/>
        <v>45597</v>
      </c>
      <c r="S444" s="21">
        <f t="shared" si="39"/>
        <v>0</v>
      </c>
      <c r="T444" s="21" t="str">
        <f t="shared" si="40"/>
        <v>Card-Based</v>
      </c>
      <c r="U444" s="21" t="str">
        <f t="shared" si="41"/>
        <v>One-Time</v>
      </c>
    </row>
    <row r="445" spans="1:21" x14ac:dyDescent="0.3">
      <c r="A445" s="21" t="s">
        <v>1502</v>
      </c>
      <c r="B445" s="21">
        <v>784041</v>
      </c>
      <c r="C445" s="21" t="s">
        <v>1503</v>
      </c>
      <c r="D445" s="21" t="s">
        <v>1504</v>
      </c>
      <c r="E445" s="21" t="s">
        <v>62</v>
      </c>
      <c r="F445" s="21" t="s">
        <v>297</v>
      </c>
      <c r="G445" s="21" t="s">
        <v>111</v>
      </c>
      <c r="H445" s="21" t="s">
        <v>88</v>
      </c>
      <c r="I445" s="21" t="s">
        <v>75</v>
      </c>
      <c r="J445" s="32">
        <v>233950.21</v>
      </c>
      <c r="K445" s="21" t="s">
        <v>71</v>
      </c>
      <c r="L445" s="33">
        <v>45764</v>
      </c>
      <c r="M445" s="21" t="s">
        <v>80</v>
      </c>
      <c r="N445" s="32">
        <v>1262558.1000000001</v>
      </c>
      <c r="O445" s="21" t="s">
        <v>150</v>
      </c>
      <c r="P445" s="21" t="str">
        <f t="shared" si="36"/>
        <v>2025-04</v>
      </c>
      <c r="Q445" s="21">
        <f t="shared" si="37"/>
        <v>2025</v>
      </c>
      <c r="R445" s="34">
        <f t="shared" si="38"/>
        <v>45748</v>
      </c>
      <c r="S445" s="21">
        <f t="shared" si="39"/>
        <v>0</v>
      </c>
      <c r="T445" s="21" t="str">
        <f t="shared" si="40"/>
        <v>Digital</v>
      </c>
      <c r="U445" s="21" t="str">
        <f t="shared" si="41"/>
        <v>One-Time</v>
      </c>
    </row>
    <row r="446" spans="1:21" x14ac:dyDescent="0.3">
      <c r="A446" s="21" t="s">
        <v>1505</v>
      </c>
      <c r="B446" s="21">
        <v>130029</v>
      </c>
      <c r="C446" s="21" t="s">
        <v>1506</v>
      </c>
      <c r="D446" s="21" t="s">
        <v>1507</v>
      </c>
      <c r="E446" s="21" t="s">
        <v>64</v>
      </c>
      <c r="F446" s="21" t="s">
        <v>262</v>
      </c>
      <c r="G446" s="21" t="s">
        <v>131</v>
      </c>
      <c r="H446" s="21" t="s">
        <v>88</v>
      </c>
      <c r="I446" s="21" t="s">
        <v>75</v>
      </c>
      <c r="J446" s="32">
        <v>290578.13</v>
      </c>
      <c r="K446" s="21" t="s">
        <v>68</v>
      </c>
      <c r="L446" s="33">
        <v>45400</v>
      </c>
      <c r="M446" s="21" t="s">
        <v>80</v>
      </c>
      <c r="N446" s="32">
        <v>678673.68</v>
      </c>
      <c r="O446" s="21" t="s">
        <v>150</v>
      </c>
      <c r="P446" s="21" t="str">
        <f t="shared" si="36"/>
        <v>2024-04</v>
      </c>
      <c r="Q446" s="21">
        <f t="shared" si="37"/>
        <v>2024</v>
      </c>
      <c r="R446" s="34">
        <f t="shared" si="38"/>
        <v>45383</v>
      </c>
      <c r="S446" s="21">
        <f t="shared" si="39"/>
        <v>0</v>
      </c>
      <c r="T446" s="21" t="str">
        <f t="shared" si="40"/>
        <v>Digital</v>
      </c>
      <c r="U446" s="21" t="str">
        <f t="shared" si="41"/>
        <v>One-Time</v>
      </c>
    </row>
    <row r="447" spans="1:21" x14ac:dyDescent="0.3">
      <c r="A447" s="21" t="s">
        <v>1508</v>
      </c>
      <c r="B447" s="21">
        <v>806467</v>
      </c>
      <c r="C447" s="21" t="s">
        <v>1509</v>
      </c>
      <c r="D447" s="21" t="s">
        <v>1510</v>
      </c>
      <c r="E447" s="21" t="s">
        <v>62</v>
      </c>
      <c r="F447" s="21" t="s">
        <v>181</v>
      </c>
      <c r="G447" s="21" t="s">
        <v>123</v>
      </c>
      <c r="H447" s="21" t="s">
        <v>87</v>
      </c>
      <c r="I447" s="21" t="s">
        <v>75</v>
      </c>
      <c r="J447" s="32">
        <v>106758.52</v>
      </c>
      <c r="K447" s="21" t="s">
        <v>71</v>
      </c>
      <c r="L447" s="33">
        <v>45207</v>
      </c>
      <c r="M447" s="21" t="s">
        <v>83</v>
      </c>
      <c r="N447" s="32">
        <v>296937.62</v>
      </c>
      <c r="O447" s="21" t="s">
        <v>150</v>
      </c>
      <c r="P447" s="21" t="str">
        <f t="shared" si="36"/>
        <v>2023-10</v>
      </c>
      <c r="Q447" s="21">
        <f t="shared" si="37"/>
        <v>2023</v>
      </c>
      <c r="R447" s="34">
        <f t="shared" si="38"/>
        <v>45200</v>
      </c>
      <c r="S447" s="21">
        <f t="shared" si="39"/>
        <v>0</v>
      </c>
      <c r="T447" s="21" t="str">
        <f t="shared" si="40"/>
        <v>Digital</v>
      </c>
      <c r="U447" s="21" t="str">
        <f t="shared" si="41"/>
        <v>One-Time</v>
      </c>
    </row>
    <row r="448" spans="1:21" x14ac:dyDescent="0.3">
      <c r="A448" s="21" t="s">
        <v>1511</v>
      </c>
      <c r="B448" s="21">
        <v>908804</v>
      </c>
      <c r="C448" s="21" t="s">
        <v>1512</v>
      </c>
      <c r="D448" s="21" t="s">
        <v>1513</v>
      </c>
      <c r="E448" s="21" t="s">
        <v>63</v>
      </c>
      <c r="F448" s="21" t="s">
        <v>255</v>
      </c>
      <c r="G448" s="21" t="s">
        <v>115</v>
      </c>
      <c r="H448" s="21" t="s">
        <v>89</v>
      </c>
      <c r="I448" s="21" t="s">
        <v>76</v>
      </c>
      <c r="J448" s="32">
        <v>55162.87</v>
      </c>
      <c r="K448" s="21" t="s">
        <v>72</v>
      </c>
      <c r="L448" s="33">
        <v>45258</v>
      </c>
      <c r="M448" s="21" t="s">
        <v>80</v>
      </c>
      <c r="N448" s="32">
        <v>951673.06</v>
      </c>
      <c r="O448" s="21" t="s">
        <v>150</v>
      </c>
      <c r="P448" s="21" t="str">
        <f t="shared" si="36"/>
        <v>2023-11</v>
      </c>
      <c r="Q448" s="21">
        <f t="shared" si="37"/>
        <v>2023</v>
      </c>
      <c r="R448" s="34">
        <f t="shared" si="38"/>
        <v>45231</v>
      </c>
      <c r="S448" s="21">
        <f t="shared" si="39"/>
        <v>0</v>
      </c>
      <c r="T448" s="21" t="str">
        <f t="shared" si="40"/>
        <v>Cash-Based</v>
      </c>
      <c r="U448" s="21" t="str">
        <f t="shared" si="41"/>
        <v>One-Time</v>
      </c>
    </row>
    <row r="449" spans="1:21" x14ac:dyDescent="0.3">
      <c r="A449" s="21" t="s">
        <v>1514</v>
      </c>
      <c r="B449" s="21">
        <v>578684</v>
      </c>
      <c r="C449" s="21" t="s">
        <v>1515</v>
      </c>
      <c r="D449" s="21" t="s">
        <v>1516</v>
      </c>
      <c r="E449" s="21" t="s">
        <v>61</v>
      </c>
      <c r="F449" s="21" t="s">
        <v>330</v>
      </c>
      <c r="G449" s="21" t="s">
        <v>121</v>
      </c>
      <c r="H449" s="21" t="s">
        <v>86</v>
      </c>
      <c r="I449" s="21" t="s">
        <v>77</v>
      </c>
      <c r="J449" s="32">
        <v>145964.88</v>
      </c>
      <c r="K449" s="21" t="s">
        <v>70</v>
      </c>
      <c r="L449" s="33">
        <v>45534</v>
      </c>
      <c r="M449" s="21" t="s">
        <v>80</v>
      </c>
      <c r="N449" s="32">
        <v>176477.34</v>
      </c>
      <c r="O449" s="21" t="s">
        <v>150</v>
      </c>
      <c r="P449" s="21" t="str">
        <f t="shared" si="36"/>
        <v>2024-08</v>
      </c>
      <c r="Q449" s="21">
        <f t="shared" si="37"/>
        <v>2024</v>
      </c>
      <c r="R449" s="34">
        <f t="shared" si="38"/>
        <v>45505</v>
      </c>
      <c r="S449" s="21">
        <f t="shared" si="39"/>
        <v>0</v>
      </c>
      <c r="T449" s="21" t="str">
        <f t="shared" si="40"/>
        <v>Card-Based</v>
      </c>
      <c r="U449" s="21" t="str">
        <f t="shared" si="41"/>
        <v>One-Time</v>
      </c>
    </row>
    <row r="450" spans="1:21" x14ac:dyDescent="0.3">
      <c r="A450" s="21" t="s">
        <v>1517</v>
      </c>
      <c r="B450" s="21">
        <v>855681</v>
      </c>
      <c r="C450" s="21" t="s">
        <v>1518</v>
      </c>
      <c r="D450" s="21" t="s">
        <v>1519</v>
      </c>
      <c r="E450" s="21" t="s">
        <v>64</v>
      </c>
      <c r="F450" s="21" t="s">
        <v>162</v>
      </c>
      <c r="G450" s="21" t="s">
        <v>114</v>
      </c>
      <c r="H450" s="21" t="s">
        <v>87</v>
      </c>
      <c r="I450" s="21" t="s">
        <v>77</v>
      </c>
      <c r="J450" s="32">
        <v>40273.629999999997</v>
      </c>
      <c r="K450" s="21" t="s">
        <v>72</v>
      </c>
      <c r="L450" s="33">
        <v>45250</v>
      </c>
      <c r="M450" s="21" t="s">
        <v>80</v>
      </c>
      <c r="N450" s="32">
        <v>1640296.82</v>
      </c>
      <c r="O450" s="21" t="s">
        <v>150</v>
      </c>
      <c r="P450" s="21" t="str">
        <f t="shared" ref="P450:P501" si="42">TEXT(L450,"yyyy-mm")</f>
        <v>2023-11</v>
      </c>
      <c r="Q450" s="21">
        <f t="shared" ref="Q450:Q501" si="43">YEAR(L450)</f>
        <v>2023</v>
      </c>
      <c r="R450" s="34">
        <f t="shared" ref="R450:R501" si="44">DATE(YEAR(L450),MONTH(L450),1)</f>
        <v>45231</v>
      </c>
      <c r="S450" s="21">
        <f t="shared" ref="S450:S501" si="45">IF(O450="Yes",1,0)</f>
        <v>0</v>
      </c>
      <c r="T450" s="21" t="str">
        <f t="shared" ref="T450:T501" si="46">IF(OR(K450="UPI",K450="Net Banking"),"Digital",IF(OR(K450="Debit Card",K450="Credit Card"),"Card-Based",IF(K450="Cash","Cash-Based","Unknown")))</f>
        <v>Cash-Based</v>
      </c>
      <c r="U450" s="21" t="str">
        <f t="shared" ref="U450:U501" si="47">IF(COUNTIF($B$2:$B$501,B450)&gt;1,"Frequent","One-Time")</f>
        <v>One-Time</v>
      </c>
    </row>
    <row r="451" spans="1:21" x14ac:dyDescent="0.3">
      <c r="A451" s="21" t="s">
        <v>1520</v>
      </c>
      <c r="B451" s="21">
        <v>453699</v>
      </c>
      <c r="C451" s="21" t="s">
        <v>1521</v>
      </c>
      <c r="D451" s="21" t="s">
        <v>1522</v>
      </c>
      <c r="E451" s="21" t="s">
        <v>63</v>
      </c>
      <c r="F451" s="21" t="s">
        <v>255</v>
      </c>
      <c r="G451" s="21" t="s">
        <v>115</v>
      </c>
      <c r="H451" s="21" t="s">
        <v>89</v>
      </c>
      <c r="I451" s="21" t="s">
        <v>75</v>
      </c>
      <c r="J451" s="32">
        <v>176968.27</v>
      </c>
      <c r="K451" s="21" t="s">
        <v>68</v>
      </c>
      <c r="L451" s="33">
        <v>45669</v>
      </c>
      <c r="M451" s="21" t="s">
        <v>80</v>
      </c>
      <c r="N451" s="32">
        <v>1090544.8999999999</v>
      </c>
      <c r="O451" s="21" t="s">
        <v>150</v>
      </c>
      <c r="P451" s="21" t="str">
        <f t="shared" si="42"/>
        <v>2025-01</v>
      </c>
      <c r="Q451" s="21">
        <f t="shared" si="43"/>
        <v>2025</v>
      </c>
      <c r="R451" s="34">
        <f t="shared" si="44"/>
        <v>45658</v>
      </c>
      <c r="S451" s="21">
        <f t="shared" si="45"/>
        <v>0</v>
      </c>
      <c r="T451" s="21" t="str">
        <f t="shared" si="46"/>
        <v>Digital</v>
      </c>
      <c r="U451" s="21" t="str">
        <f t="shared" si="47"/>
        <v>One-Time</v>
      </c>
    </row>
    <row r="452" spans="1:21" x14ac:dyDescent="0.3">
      <c r="A452" s="21" t="s">
        <v>1523</v>
      </c>
      <c r="B452" s="21">
        <v>916141</v>
      </c>
      <c r="C452" s="21" t="s">
        <v>1524</v>
      </c>
      <c r="D452" s="21" t="s">
        <v>1525</v>
      </c>
      <c r="E452" s="21" t="s">
        <v>61</v>
      </c>
      <c r="F452" s="21" t="s">
        <v>154</v>
      </c>
      <c r="G452" s="21" t="s">
        <v>122</v>
      </c>
      <c r="H452" s="21" t="s">
        <v>87</v>
      </c>
      <c r="I452" s="21" t="s">
        <v>77</v>
      </c>
      <c r="J452" s="32">
        <v>112350.94</v>
      </c>
      <c r="K452" s="21" t="s">
        <v>70</v>
      </c>
      <c r="L452" s="33">
        <v>45193</v>
      </c>
      <c r="M452" s="21" t="s">
        <v>80</v>
      </c>
      <c r="N452" s="32">
        <v>868277.44</v>
      </c>
      <c r="O452" s="21" t="s">
        <v>150</v>
      </c>
      <c r="P452" s="21" t="str">
        <f t="shared" si="42"/>
        <v>2023-09</v>
      </c>
      <c r="Q452" s="21">
        <f t="shared" si="43"/>
        <v>2023</v>
      </c>
      <c r="R452" s="34">
        <f t="shared" si="44"/>
        <v>45170</v>
      </c>
      <c r="S452" s="21">
        <f t="shared" si="45"/>
        <v>0</v>
      </c>
      <c r="T452" s="21" t="str">
        <f t="shared" si="46"/>
        <v>Card-Based</v>
      </c>
      <c r="U452" s="21" t="str">
        <f t="shared" si="47"/>
        <v>One-Time</v>
      </c>
    </row>
    <row r="453" spans="1:21" x14ac:dyDescent="0.3">
      <c r="A453" s="21" t="s">
        <v>1526</v>
      </c>
      <c r="B453" s="21">
        <v>155828</v>
      </c>
      <c r="C453" s="21" t="s">
        <v>1527</v>
      </c>
      <c r="D453" s="21" t="s">
        <v>1528</v>
      </c>
      <c r="E453" s="21" t="s">
        <v>64</v>
      </c>
      <c r="F453" s="21" t="s">
        <v>162</v>
      </c>
      <c r="G453" s="21" t="s">
        <v>114</v>
      </c>
      <c r="H453" s="21" t="s">
        <v>88</v>
      </c>
      <c r="I453" s="21" t="s">
        <v>75</v>
      </c>
      <c r="J453" s="32">
        <v>177814.59</v>
      </c>
      <c r="K453" s="21" t="s">
        <v>71</v>
      </c>
      <c r="L453" s="33">
        <v>45662</v>
      </c>
      <c r="M453" s="21" t="s">
        <v>80</v>
      </c>
      <c r="N453" s="32">
        <v>1805585.1</v>
      </c>
      <c r="O453" s="21" t="s">
        <v>150</v>
      </c>
      <c r="P453" s="21" t="str">
        <f t="shared" si="42"/>
        <v>2025-01</v>
      </c>
      <c r="Q453" s="21">
        <f t="shared" si="43"/>
        <v>2025</v>
      </c>
      <c r="R453" s="34">
        <f t="shared" si="44"/>
        <v>45658</v>
      </c>
      <c r="S453" s="21">
        <f t="shared" si="45"/>
        <v>0</v>
      </c>
      <c r="T453" s="21" t="str">
        <f t="shared" si="46"/>
        <v>Digital</v>
      </c>
      <c r="U453" s="21" t="str">
        <f t="shared" si="47"/>
        <v>One-Time</v>
      </c>
    </row>
    <row r="454" spans="1:21" x14ac:dyDescent="0.3">
      <c r="A454" s="21" t="s">
        <v>1529</v>
      </c>
      <c r="B454" s="21">
        <v>612319</v>
      </c>
      <c r="C454" s="21" t="s">
        <v>1530</v>
      </c>
      <c r="D454" s="21" t="s">
        <v>1531</v>
      </c>
      <c r="E454" s="21" t="s">
        <v>61</v>
      </c>
      <c r="F454" s="21" t="s">
        <v>154</v>
      </c>
      <c r="G454" s="21" t="s">
        <v>122</v>
      </c>
      <c r="H454" s="21" t="s">
        <v>86</v>
      </c>
      <c r="I454" s="21" t="s">
        <v>78</v>
      </c>
      <c r="J454" s="32">
        <v>143983.29999999999</v>
      </c>
      <c r="K454" s="21" t="s">
        <v>71</v>
      </c>
      <c r="L454" s="33">
        <v>45666</v>
      </c>
      <c r="M454" s="21" t="s">
        <v>80</v>
      </c>
      <c r="N454" s="32">
        <v>306242.71000000002</v>
      </c>
      <c r="O454" s="21" t="s">
        <v>150</v>
      </c>
      <c r="P454" s="21" t="str">
        <f t="shared" si="42"/>
        <v>2025-01</v>
      </c>
      <c r="Q454" s="21">
        <f t="shared" si="43"/>
        <v>2025</v>
      </c>
      <c r="R454" s="34">
        <f t="shared" si="44"/>
        <v>45658</v>
      </c>
      <c r="S454" s="21">
        <f t="shared" si="45"/>
        <v>0</v>
      </c>
      <c r="T454" s="21" t="str">
        <f t="shared" si="46"/>
        <v>Digital</v>
      </c>
      <c r="U454" s="21" t="str">
        <f t="shared" si="47"/>
        <v>One-Time</v>
      </c>
    </row>
    <row r="455" spans="1:21" x14ac:dyDescent="0.3">
      <c r="A455" s="21" t="s">
        <v>1532</v>
      </c>
      <c r="B455" s="21">
        <v>835355</v>
      </c>
      <c r="C455" s="21" t="s">
        <v>1533</v>
      </c>
      <c r="D455" s="21" t="s">
        <v>1534</v>
      </c>
      <c r="E455" s="21" t="s">
        <v>61</v>
      </c>
      <c r="F455" s="21" t="s">
        <v>195</v>
      </c>
      <c r="G455" s="21" t="s">
        <v>116</v>
      </c>
      <c r="H455" s="21" t="s">
        <v>89</v>
      </c>
      <c r="I455" s="21" t="s">
        <v>78</v>
      </c>
      <c r="J455" s="32">
        <v>216375.47</v>
      </c>
      <c r="K455" s="21" t="s">
        <v>70</v>
      </c>
      <c r="L455" s="33">
        <v>45464</v>
      </c>
      <c r="M455" s="21" t="s">
        <v>80</v>
      </c>
      <c r="N455" s="32">
        <v>1872659.81</v>
      </c>
      <c r="O455" s="21" t="s">
        <v>150</v>
      </c>
      <c r="P455" s="21" t="str">
        <f t="shared" si="42"/>
        <v>2024-06</v>
      </c>
      <c r="Q455" s="21">
        <f t="shared" si="43"/>
        <v>2024</v>
      </c>
      <c r="R455" s="34">
        <f t="shared" si="44"/>
        <v>45444</v>
      </c>
      <c r="S455" s="21">
        <f t="shared" si="45"/>
        <v>0</v>
      </c>
      <c r="T455" s="21" t="str">
        <f t="shared" si="46"/>
        <v>Card-Based</v>
      </c>
      <c r="U455" s="21" t="str">
        <f t="shared" si="47"/>
        <v>One-Time</v>
      </c>
    </row>
    <row r="456" spans="1:21" x14ac:dyDescent="0.3">
      <c r="A456" s="21" t="s">
        <v>1535</v>
      </c>
      <c r="B456" s="21">
        <v>504669</v>
      </c>
      <c r="C456" s="21" t="s">
        <v>1536</v>
      </c>
      <c r="D456" s="21" t="s">
        <v>1537</v>
      </c>
      <c r="E456" s="21" t="s">
        <v>60</v>
      </c>
      <c r="F456" s="21" t="s">
        <v>203</v>
      </c>
      <c r="G456" s="21" t="s">
        <v>128</v>
      </c>
      <c r="H456" s="21" t="s">
        <v>87</v>
      </c>
      <c r="I456" s="21" t="s">
        <v>76</v>
      </c>
      <c r="J456" s="32">
        <v>153284.23000000001</v>
      </c>
      <c r="K456" s="21" t="s">
        <v>69</v>
      </c>
      <c r="L456" s="33">
        <v>45553</v>
      </c>
      <c r="M456" s="21" t="s">
        <v>80</v>
      </c>
      <c r="N456" s="32">
        <v>2047719.1</v>
      </c>
      <c r="O456" s="21" t="s">
        <v>150</v>
      </c>
      <c r="P456" s="21" t="str">
        <f t="shared" si="42"/>
        <v>2024-09</v>
      </c>
      <c r="Q456" s="21">
        <f t="shared" si="43"/>
        <v>2024</v>
      </c>
      <c r="R456" s="34">
        <f t="shared" si="44"/>
        <v>45536</v>
      </c>
      <c r="S456" s="21">
        <f t="shared" si="45"/>
        <v>0</v>
      </c>
      <c r="T456" s="21" t="str">
        <f t="shared" si="46"/>
        <v>Card-Based</v>
      </c>
      <c r="U456" s="21" t="str">
        <f t="shared" si="47"/>
        <v>One-Time</v>
      </c>
    </row>
    <row r="457" spans="1:21" x14ac:dyDescent="0.3">
      <c r="A457" s="21" t="s">
        <v>1538</v>
      </c>
      <c r="B457" s="21">
        <v>473260</v>
      </c>
      <c r="C457" s="21" t="s">
        <v>1539</v>
      </c>
      <c r="D457" s="21" t="s">
        <v>1540</v>
      </c>
      <c r="E457" s="21" t="s">
        <v>61</v>
      </c>
      <c r="F457" s="21" t="s">
        <v>279</v>
      </c>
      <c r="G457" s="21" t="s">
        <v>125</v>
      </c>
      <c r="H457" s="21" t="s">
        <v>89</v>
      </c>
      <c r="I457" s="21" t="s">
        <v>76</v>
      </c>
      <c r="J457" s="32">
        <v>204242.97</v>
      </c>
      <c r="K457" s="21" t="s">
        <v>70</v>
      </c>
      <c r="L457" s="33">
        <v>45408</v>
      </c>
      <c r="M457" s="21" t="s">
        <v>80</v>
      </c>
      <c r="N457" s="32">
        <v>1266418.3500000001</v>
      </c>
      <c r="O457" s="21" t="s">
        <v>150</v>
      </c>
      <c r="P457" s="21" t="str">
        <f t="shared" si="42"/>
        <v>2024-04</v>
      </c>
      <c r="Q457" s="21">
        <f t="shared" si="43"/>
        <v>2024</v>
      </c>
      <c r="R457" s="34">
        <f t="shared" si="44"/>
        <v>45383</v>
      </c>
      <c r="S457" s="21">
        <f t="shared" si="45"/>
        <v>0</v>
      </c>
      <c r="T457" s="21" t="str">
        <f t="shared" si="46"/>
        <v>Card-Based</v>
      </c>
      <c r="U457" s="21" t="str">
        <f t="shared" si="47"/>
        <v>One-Time</v>
      </c>
    </row>
    <row r="458" spans="1:21" x14ac:dyDescent="0.3">
      <c r="A458" s="21" t="s">
        <v>1541</v>
      </c>
      <c r="B458" s="21">
        <v>295399</v>
      </c>
      <c r="C458" s="21" t="s">
        <v>1542</v>
      </c>
      <c r="D458" s="21" t="s">
        <v>1543</v>
      </c>
      <c r="E458" s="21" t="s">
        <v>62</v>
      </c>
      <c r="F458" s="21" t="s">
        <v>297</v>
      </c>
      <c r="G458" s="21" t="s">
        <v>111</v>
      </c>
      <c r="H458" s="21" t="s">
        <v>88</v>
      </c>
      <c r="I458" s="21" t="s">
        <v>75</v>
      </c>
      <c r="J458" s="32">
        <v>32917.839999999997</v>
      </c>
      <c r="K458" s="21" t="s">
        <v>68</v>
      </c>
      <c r="L458" s="33">
        <v>45546</v>
      </c>
      <c r="M458" s="21" t="s">
        <v>80</v>
      </c>
      <c r="N458" s="32">
        <v>270187.18</v>
      </c>
      <c r="O458" s="21" t="s">
        <v>150</v>
      </c>
      <c r="P458" s="21" t="str">
        <f t="shared" si="42"/>
        <v>2024-09</v>
      </c>
      <c r="Q458" s="21">
        <f t="shared" si="43"/>
        <v>2024</v>
      </c>
      <c r="R458" s="34">
        <f t="shared" si="44"/>
        <v>45536</v>
      </c>
      <c r="S458" s="21">
        <f t="shared" si="45"/>
        <v>0</v>
      </c>
      <c r="T458" s="21" t="str">
        <f t="shared" si="46"/>
        <v>Digital</v>
      </c>
      <c r="U458" s="21" t="str">
        <f t="shared" si="47"/>
        <v>One-Time</v>
      </c>
    </row>
    <row r="459" spans="1:21" x14ac:dyDescent="0.3">
      <c r="A459" s="21" t="s">
        <v>1544</v>
      </c>
      <c r="B459" s="21">
        <v>334036</v>
      </c>
      <c r="C459" s="21" t="s">
        <v>1545</v>
      </c>
      <c r="D459" s="21" t="s">
        <v>1546</v>
      </c>
      <c r="E459" s="21" t="s">
        <v>64</v>
      </c>
      <c r="F459" s="21" t="s">
        <v>177</v>
      </c>
      <c r="G459" s="21" t="s">
        <v>113</v>
      </c>
      <c r="H459" s="21" t="s">
        <v>87</v>
      </c>
      <c r="I459" s="21" t="s">
        <v>77</v>
      </c>
      <c r="J459" s="32">
        <v>104083.23</v>
      </c>
      <c r="K459" s="21" t="s">
        <v>70</v>
      </c>
      <c r="L459" s="33">
        <v>45391</v>
      </c>
      <c r="M459" s="21" t="s">
        <v>80</v>
      </c>
      <c r="N459" s="32">
        <v>1489360.81</v>
      </c>
      <c r="O459" s="21" t="s">
        <v>150</v>
      </c>
      <c r="P459" s="21" t="str">
        <f t="shared" si="42"/>
        <v>2024-04</v>
      </c>
      <c r="Q459" s="21">
        <f t="shared" si="43"/>
        <v>2024</v>
      </c>
      <c r="R459" s="34">
        <f t="shared" si="44"/>
        <v>45383</v>
      </c>
      <c r="S459" s="21">
        <f t="shared" si="45"/>
        <v>0</v>
      </c>
      <c r="T459" s="21" t="str">
        <f t="shared" si="46"/>
        <v>Card-Based</v>
      </c>
      <c r="U459" s="21" t="str">
        <f t="shared" si="47"/>
        <v>One-Time</v>
      </c>
    </row>
    <row r="460" spans="1:21" x14ac:dyDescent="0.3">
      <c r="A460" s="21" t="s">
        <v>1547</v>
      </c>
      <c r="B460" s="21">
        <v>935158</v>
      </c>
      <c r="C460" s="21" t="s">
        <v>1548</v>
      </c>
      <c r="D460" s="21" t="s">
        <v>1549</v>
      </c>
      <c r="E460" s="21" t="s">
        <v>62</v>
      </c>
      <c r="F460" s="21" t="s">
        <v>310</v>
      </c>
      <c r="G460" s="21" t="s">
        <v>110</v>
      </c>
      <c r="H460" s="21" t="s">
        <v>86</v>
      </c>
      <c r="I460" s="21" t="s">
        <v>75</v>
      </c>
      <c r="J460" s="32">
        <v>150210.6</v>
      </c>
      <c r="K460" s="21" t="s">
        <v>72</v>
      </c>
      <c r="L460" s="33">
        <v>45624</v>
      </c>
      <c r="M460" s="21" t="s">
        <v>80</v>
      </c>
      <c r="N460" s="32">
        <v>1487795.84</v>
      </c>
      <c r="O460" s="21" t="s">
        <v>150</v>
      </c>
      <c r="P460" s="21" t="str">
        <f t="shared" si="42"/>
        <v>2024-11</v>
      </c>
      <c r="Q460" s="21">
        <f t="shared" si="43"/>
        <v>2024</v>
      </c>
      <c r="R460" s="34">
        <f t="shared" si="44"/>
        <v>45597</v>
      </c>
      <c r="S460" s="21">
        <f t="shared" si="45"/>
        <v>0</v>
      </c>
      <c r="T460" s="21" t="str">
        <f t="shared" si="46"/>
        <v>Cash-Based</v>
      </c>
      <c r="U460" s="21" t="str">
        <f t="shared" si="47"/>
        <v>One-Time</v>
      </c>
    </row>
    <row r="461" spans="1:21" x14ac:dyDescent="0.3">
      <c r="A461" s="21" t="s">
        <v>1550</v>
      </c>
      <c r="B461" s="21">
        <v>767001</v>
      </c>
      <c r="C461" s="21" t="s">
        <v>1551</v>
      </c>
      <c r="D461" s="21" t="s">
        <v>1552</v>
      </c>
      <c r="E461" s="21" t="s">
        <v>62</v>
      </c>
      <c r="F461" s="21" t="s">
        <v>297</v>
      </c>
      <c r="G461" s="21" t="s">
        <v>111</v>
      </c>
      <c r="H461" s="21" t="s">
        <v>87</v>
      </c>
      <c r="I461" s="21" t="s">
        <v>78</v>
      </c>
      <c r="J461" s="32">
        <v>540827.56000000006</v>
      </c>
      <c r="K461" s="21" t="s">
        <v>68</v>
      </c>
      <c r="L461" s="33">
        <v>45403</v>
      </c>
      <c r="M461" s="21" t="s">
        <v>80</v>
      </c>
      <c r="N461" s="32">
        <v>1173477.6299999999</v>
      </c>
      <c r="O461" s="21" t="s">
        <v>150</v>
      </c>
      <c r="P461" s="21" t="str">
        <f t="shared" si="42"/>
        <v>2024-04</v>
      </c>
      <c r="Q461" s="21">
        <f t="shared" si="43"/>
        <v>2024</v>
      </c>
      <c r="R461" s="34">
        <f t="shared" si="44"/>
        <v>45383</v>
      </c>
      <c r="S461" s="21">
        <f t="shared" si="45"/>
        <v>0</v>
      </c>
      <c r="T461" s="21" t="str">
        <f t="shared" si="46"/>
        <v>Digital</v>
      </c>
      <c r="U461" s="21" t="str">
        <f t="shared" si="47"/>
        <v>One-Time</v>
      </c>
    </row>
    <row r="462" spans="1:21" x14ac:dyDescent="0.3">
      <c r="A462" s="21" t="s">
        <v>1553</v>
      </c>
      <c r="B462" s="21">
        <v>969821</v>
      </c>
      <c r="C462" s="21" t="s">
        <v>1554</v>
      </c>
      <c r="D462" s="21" t="s">
        <v>1555</v>
      </c>
      <c r="E462" s="21" t="s">
        <v>64</v>
      </c>
      <c r="F462" s="21" t="s">
        <v>158</v>
      </c>
      <c r="G462" s="21" t="s">
        <v>108</v>
      </c>
      <c r="H462" s="21" t="s">
        <v>86</v>
      </c>
      <c r="I462" s="21" t="s">
        <v>77</v>
      </c>
      <c r="J462" s="32">
        <v>137525.01</v>
      </c>
      <c r="K462" s="21" t="s">
        <v>71</v>
      </c>
      <c r="L462" s="33">
        <v>45322</v>
      </c>
      <c r="M462" s="21" t="s">
        <v>80</v>
      </c>
      <c r="N462" s="32">
        <v>1849118.19</v>
      </c>
      <c r="O462" s="21" t="s">
        <v>150</v>
      </c>
      <c r="P462" s="21" t="str">
        <f t="shared" si="42"/>
        <v>2024-01</v>
      </c>
      <c r="Q462" s="21">
        <f t="shared" si="43"/>
        <v>2024</v>
      </c>
      <c r="R462" s="34">
        <f t="shared" si="44"/>
        <v>45292</v>
      </c>
      <c r="S462" s="21">
        <f t="shared" si="45"/>
        <v>0</v>
      </c>
      <c r="T462" s="21" t="str">
        <f t="shared" si="46"/>
        <v>Digital</v>
      </c>
      <c r="U462" s="21" t="str">
        <f t="shared" si="47"/>
        <v>One-Time</v>
      </c>
    </row>
    <row r="463" spans="1:21" x14ac:dyDescent="0.3">
      <c r="A463" s="21" t="s">
        <v>1556</v>
      </c>
      <c r="B463" s="21">
        <v>567678</v>
      </c>
      <c r="C463" s="21" t="s">
        <v>1557</v>
      </c>
      <c r="D463" s="21" t="s">
        <v>1558</v>
      </c>
      <c r="E463" s="21" t="s">
        <v>62</v>
      </c>
      <c r="F463" s="21" t="s">
        <v>181</v>
      </c>
      <c r="G463" s="21" t="s">
        <v>123</v>
      </c>
      <c r="H463" s="21" t="s">
        <v>89</v>
      </c>
      <c r="I463" s="21" t="s">
        <v>78</v>
      </c>
      <c r="J463" s="32">
        <v>520051.76</v>
      </c>
      <c r="K463" s="21" t="s">
        <v>71</v>
      </c>
      <c r="L463" s="33">
        <v>45454</v>
      </c>
      <c r="M463" s="21" t="s">
        <v>80</v>
      </c>
      <c r="N463" s="32">
        <v>1715566.76</v>
      </c>
      <c r="O463" s="21" t="s">
        <v>150</v>
      </c>
      <c r="P463" s="21" t="str">
        <f t="shared" si="42"/>
        <v>2024-06</v>
      </c>
      <c r="Q463" s="21">
        <f t="shared" si="43"/>
        <v>2024</v>
      </c>
      <c r="R463" s="34">
        <f t="shared" si="44"/>
        <v>45444</v>
      </c>
      <c r="S463" s="21">
        <f t="shared" si="45"/>
        <v>0</v>
      </c>
      <c r="T463" s="21" t="str">
        <f t="shared" si="46"/>
        <v>Digital</v>
      </c>
      <c r="U463" s="21" t="str">
        <f t="shared" si="47"/>
        <v>One-Time</v>
      </c>
    </row>
    <row r="464" spans="1:21" x14ac:dyDescent="0.3">
      <c r="A464" s="21" t="s">
        <v>1559</v>
      </c>
      <c r="B464" s="21">
        <v>689621</v>
      </c>
      <c r="C464" s="21" t="s">
        <v>1560</v>
      </c>
      <c r="D464" s="21" t="s">
        <v>1561</v>
      </c>
      <c r="E464" s="21" t="s">
        <v>63</v>
      </c>
      <c r="F464" s="21" t="s">
        <v>255</v>
      </c>
      <c r="G464" s="21" t="s">
        <v>115</v>
      </c>
      <c r="H464" s="21" t="s">
        <v>86</v>
      </c>
      <c r="I464" s="21" t="s">
        <v>75</v>
      </c>
      <c r="J464" s="32">
        <v>163962.70000000001</v>
      </c>
      <c r="K464" s="21" t="s">
        <v>70</v>
      </c>
      <c r="L464" s="33">
        <v>45211</v>
      </c>
      <c r="M464" s="21" t="s">
        <v>80</v>
      </c>
      <c r="N464" s="32">
        <v>2001906.48</v>
      </c>
      <c r="O464" s="21" t="s">
        <v>150</v>
      </c>
      <c r="P464" s="21" t="str">
        <f t="shared" si="42"/>
        <v>2023-10</v>
      </c>
      <c r="Q464" s="21">
        <f t="shared" si="43"/>
        <v>2023</v>
      </c>
      <c r="R464" s="34">
        <f t="shared" si="44"/>
        <v>45200</v>
      </c>
      <c r="S464" s="21">
        <f t="shared" si="45"/>
        <v>0</v>
      </c>
      <c r="T464" s="21" t="str">
        <f t="shared" si="46"/>
        <v>Card-Based</v>
      </c>
      <c r="U464" s="21" t="str">
        <f t="shared" si="47"/>
        <v>One-Time</v>
      </c>
    </row>
    <row r="465" spans="1:21" x14ac:dyDescent="0.3">
      <c r="A465" s="21" t="s">
        <v>1562</v>
      </c>
      <c r="B465" s="21">
        <v>224857</v>
      </c>
      <c r="C465" s="21" t="s">
        <v>1563</v>
      </c>
      <c r="D465" s="21" t="s">
        <v>1564</v>
      </c>
      <c r="E465" s="21" t="s">
        <v>62</v>
      </c>
      <c r="F465" s="21" t="s">
        <v>297</v>
      </c>
      <c r="G465" s="21" t="s">
        <v>111</v>
      </c>
      <c r="H465" s="21" t="s">
        <v>89</v>
      </c>
      <c r="I465" s="21" t="s">
        <v>78</v>
      </c>
      <c r="J465" s="32">
        <v>416358.8</v>
      </c>
      <c r="K465" s="21" t="s">
        <v>71</v>
      </c>
      <c r="L465" s="33">
        <v>45700</v>
      </c>
      <c r="M465" s="21" t="s">
        <v>80</v>
      </c>
      <c r="N465" s="32">
        <v>2177281.27</v>
      </c>
      <c r="O465" s="21" t="s">
        <v>150</v>
      </c>
      <c r="P465" s="21" t="str">
        <f t="shared" si="42"/>
        <v>2025-02</v>
      </c>
      <c r="Q465" s="21">
        <f t="shared" si="43"/>
        <v>2025</v>
      </c>
      <c r="R465" s="34">
        <f t="shared" si="44"/>
        <v>45689</v>
      </c>
      <c r="S465" s="21">
        <f t="shared" si="45"/>
        <v>0</v>
      </c>
      <c r="T465" s="21" t="str">
        <f t="shared" si="46"/>
        <v>Digital</v>
      </c>
      <c r="U465" s="21" t="str">
        <f t="shared" si="47"/>
        <v>One-Time</v>
      </c>
    </row>
    <row r="466" spans="1:21" x14ac:dyDescent="0.3">
      <c r="A466" s="21" t="s">
        <v>1565</v>
      </c>
      <c r="B466" s="21">
        <v>240183</v>
      </c>
      <c r="C466" s="21" t="s">
        <v>1566</v>
      </c>
      <c r="D466" s="21" t="s">
        <v>1567</v>
      </c>
      <c r="E466" s="21" t="s">
        <v>62</v>
      </c>
      <c r="F466" s="21" t="s">
        <v>199</v>
      </c>
      <c r="G466" s="21" t="s">
        <v>120</v>
      </c>
      <c r="H466" s="21" t="s">
        <v>86</v>
      </c>
      <c r="I466" s="21" t="s">
        <v>75</v>
      </c>
      <c r="J466" s="32">
        <v>102467.43</v>
      </c>
      <c r="K466" s="21" t="s">
        <v>72</v>
      </c>
      <c r="L466" s="33">
        <v>45346</v>
      </c>
      <c r="M466" s="21" t="s">
        <v>82</v>
      </c>
      <c r="N466" s="32">
        <v>1069178.8700000001</v>
      </c>
      <c r="O466" s="21" t="s">
        <v>150</v>
      </c>
      <c r="P466" s="21" t="str">
        <f t="shared" si="42"/>
        <v>2024-02</v>
      </c>
      <c r="Q466" s="21">
        <f t="shared" si="43"/>
        <v>2024</v>
      </c>
      <c r="R466" s="34">
        <f t="shared" si="44"/>
        <v>45323</v>
      </c>
      <c r="S466" s="21">
        <f t="shared" si="45"/>
        <v>0</v>
      </c>
      <c r="T466" s="21" t="str">
        <f t="shared" si="46"/>
        <v>Cash-Based</v>
      </c>
      <c r="U466" s="21" t="str">
        <f t="shared" si="47"/>
        <v>One-Time</v>
      </c>
    </row>
    <row r="467" spans="1:21" x14ac:dyDescent="0.3">
      <c r="A467" s="21" t="s">
        <v>1568</v>
      </c>
      <c r="B467" s="21">
        <v>187594</v>
      </c>
      <c r="C467" s="21" t="s">
        <v>1569</v>
      </c>
      <c r="D467" s="21" t="s">
        <v>1570</v>
      </c>
      <c r="E467" s="21" t="s">
        <v>60</v>
      </c>
      <c r="F467" s="21" t="s">
        <v>149</v>
      </c>
      <c r="G467" s="21" t="s">
        <v>119</v>
      </c>
      <c r="H467" s="21" t="s">
        <v>89</v>
      </c>
      <c r="I467" s="21" t="s">
        <v>76</v>
      </c>
      <c r="J467" s="32">
        <v>442525.87</v>
      </c>
      <c r="K467" s="21" t="s">
        <v>70</v>
      </c>
      <c r="L467" s="33">
        <v>45627</v>
      </c>
      <c r="M467" s="21" t="s">
        <v>80</v>
      </c>
      <c r="N467" s="32">
        <v>1221978.27</v>
      </c>
      <c r="O467" s="21" t="s">
        <v>150</v>
      </c>
      <c r="P467" s="21" t="str">
        <f t="shared" si="42"/>
        <v>2024-12</v>
      </c>
      <c r="Q467" s="21">
        <f t="shared" si="43"/>
        <v>2024</v>
      </c>
      <c r="R467" s="34">
        <f t="shared" si="44"/>
        <v>45627</v>
      </c>
      <c r="S467" s="21">
        <f t="shared" si="45"/>
        <v>0</v>
      </c>
      <c r="T467" s="21" t="str">
        <f t="shared" si="46"/>
        <v>Card-Based</v>
      </c>
      <c r="U467" s="21" t="str">
        <f t="shared" si="47"/>
        <v>One-Time</v>
      </c>
    </row>
    <row r="468" spans="1:21" x14ac:dyDescent="0.3">
      <c r="A468" s="21" t="s">
        <v>1571</v>
      </c>
      <c r="B468" s="21">
        <v>490738</v>
      </c>
      <c r="C468" s="21" t="s">
        <v>1572</v>
      </c>
      <c r="D468" s="21" t="s">
        <v>1573</v>
      </c>
      <c r="E468" s="21" t="s">
        <v>60</v>
      </c>
      <c r="F468" s="21" t="s">
        <v>286</v>
      </c>
      <c r="G468" s="21" t="s">
        <v>124</v>
      </c>
      <c r="H468" s="21" t="s">
        <v>86</v>
      </c>
      <c r="I468" s="21" t="s">
        <v>77</v>
      </c>
      <c r="J468" s="32">
        <v>9274.36</v>
      </c>
      <c r="K468" s="21" t="s">
        <v>70</v>
      </c>
      <c r="L468" s="33">
        <v>45401</v>
      </c>
      <c r="M468" s="21" t="s">
        <v>80</v>
      </c>
      <c r="N468" s="32">
        <v>1645111.59</v>
      </c>
      <c r="O468" s="21" t="s">
        <v>150</v>
      </c>
      <c r="P468" s="21" t="str">
        <f t="shared" si="42"/>
        <v>2024-04</v>
      </c>
      <c r="Q468" s="21">
        <f t="shared" si="43"/>
        <v>2024</v>
      </c>
      <c r="R468" s="34">
        <f t="shared" si="44"/>
        <v>45383</v>
      </c>
      <c r="S468" s="21">
        <f t="shared" si="45"/>
        <v>0</v>
      </c>
      <c r="T468" s="21" t="str">
        <f t="shared" si="46"/>
        <v>Card-Based</v>
      </c>
      <c r="U468" s="21" t="str">
        <f t="shared" si="47"/>
        <v>One-Time</v>
      </c>
    </row>
    <row r="469" spans="1:21" x14ac:dyDescent="0.3">
      <c r="A469" s="21" t="s">
        <v>1574</v>
      </c>
      <c r="B469" s="21">
        <v>186325</v>
      </c>
      <c r="C469" s="21" t="s">
        <v>1575</v>
      </c>
      <c r="D469" s="21" t="s">
        <v>1576</v>
      </c>
      <c r="E469" s="21" t="s">
        <v>61</v>
      </c>
      <c r="F469" s="21" t="s">
        <v>195</v>
      </c>
      <c r="G469" s="21" t="s">
        <v>116</v>
      </c>
      <c r="H469" s="21" t="s">
        <v>88</v>
      </c>
      <c r="I469" s="21" t="s">
        <v>75</v>
      </c>
      <c r="J469" s="32">
        <v>118082.76</v>
      </c>
      <c r="K469" s="21" t="s">
        <v>68</v>
      </c>
      <c r="L469" s="33">
        <v>45152</v>
      </c>
      <c r="M469" s="21" t="s">
        <v>80</v>
      </c>
      <c r="N469" s="32">
        <v>1846449.16</v>
      </c>
      <c r="O469" s="21" t="s">
        <v>150</v>
      </c>
      <c r="P469" s="21" t="str">
        <f t="shared" si="42"/>
        <v>2023-08</v>
      </c>
      <c r="Q469" s="21">
        <f t="shared" si="43"/>
        <v>2023</v>
      </c>
      <c r="R469" s="34">
        <f t="shared" si="44"/>
        <v>45139</v>
      </c>
      <c r="S469" s="21">
        <f t="shared" si="45"/>
        <v>0</v>
      </c>
      <c r="T469" s="21" t="str">
        <f t="shared" si="46"/>
        <v>Digital</v>
      </c>
      <c r="U469" s="21" t="str">
        <f t="shared" si="47"/>
        <v>One-Time</v>
      </c>
    </row>
    <row r="470" spans="1:21" x14ac:dyDescent="0.3">
      <c r="A470" s="21" t="s">
        <v>1577</v>
      </c>
      <c r="B470" s="21">
        <v>441216</v>
      </c>
      <c r="C470" s="21" t="s">
        <v>1578</v>
      </c>
      <c r="D470" s="21" t="s">
        <v>1579</v>
      </c>
      <c r="E470" s="21" t="s">
        <v>63</v>
      </c>
      <c r="F470" s="21" t="s">
        <v>223</v>
      </c>
      <c r="G470" s="21" t="s">
        <v>129</v>
      </c>
      <c r="H470" s="21" t="s">
        <v>87</v>
      </c>
      <c r="I470" s="21" t="s">
        <v>76</v>
      </c>
      <c r="J470" s="32">
        <v>15002.6</v>
      </c>
      <c r="K470" s="21" t="s">
        <v>69</v>
      </c>
      <c r="L470" s="33">
        <v>45167</v>
      </c>
      <c r="M470" s="21" t="s">
        <v>80</v>
      </c>
      <c r="N470" s="32">
        <v>426860.72</v>
      </c>
      <c r="O470" s="21" t="s">
        <v>150</v>
      </c>
      <c r="P470" s="21" t="str">
        <f t="shared" si="42"/>
        <v>2023-08</v>
      </c>
      <c r="Q470" s="21">
        <f t="shared" si="43"/>
        <v>2023</v>
      </c>
      <c r="R470" s="34">
        <f t="shared" si="44"/>
        <v>45139</v>
      </c>
      <c r="S470" s="21">
        <f t="shared" si="45"/>
        <v>0</v>
      </c>
      <c r="T470" s="21" t="str">
        <f t="shared" si="46"/>
        <v>Card-Based</v>
      </c>
      <c r="U470" s="21" t="str">
        <f t="shared" si="47"/>
        <v>One-Time</v>
      </c>
    </row>
    <row r="471" spans="1:21" x14ac:dyDescent="0.3">
      <c r="A471" s="21" t="s">
        <v>1580</v>
      </c>
      <c r="B471" s="21">
        <v>415091</v>
      </c>
      <c r="C471" s="21" t="s">
        <v>1581</v>
      </c>
      <c r="D471" s="21" t="s">
        <v>1582</v>
      </c>
      <c r="E471" s="21" t="s">
        <v>63</v>
      </c>
      <c r="F471" s="21" t="s">
        <v>293</v>
      </c>
      <c r="G471" s="21" t="s">
        <v>126</v>
      </c>
      <c r="H471" s="21" t="s">
        <v>89</v>
      </c>
      <c r="I471" s="21" t="s">
        <v>76</v>
      </c>
      <c r="J471" s="32">
        <v>186304.69</v>
      </c>
      <c r="K471" s="21" t="s">
        <v>69</v>
      </c>
      <c r="L471" s="33">
        <v>45467</v>
      </c>
      <c r="M471" s="21" t="s">
        <v>80</v>
      </c>
      <c r="N471" s="32">
        <v>558204.13</v>
      </c>
      <c r="O471" s="21" t="s">
        <v>150</v>
      </c>
      <c r="P471" s="21" t="str">
        <f t="shared" si="42"/>
        <v>2024-06</v>
      </c>
      <c r="Q471" s="21">
        <f t="shared" si="43"/>
        <v>2024</v>
      </c>
      <c r="R471" s="34">
        <f t="shared" si="44"/>
        <v>45444</v>
      </c>
      <c r="S471" s="21">
        <f t="shared" si="45"/>
        <v>0</v>
      </c>
      <c r="T471" s="21" t="str">
        <f t="shared" si="46"/>
        <v>Card-Based</v>
      </c>
      <c r="U471" s="21" t="str">
        <f t="shared" si="47"/>
        <v>One-Time</v>
      </c>
    </row>
    <row r="472" spans="1:21" x14ac:dyDescent="0.3">
      <c r="A472" s="21" t="s">
        <v>1583</v>
      </c>
      <c r="B472" s="21">
        <v>647451</v>
      </c>
      <c r="C472" s="21" t="s">
        <v>1584</v>
      </c>
      <c r="D472" s="21" t="s">
        <v>1585</v>
      </c>
      <c r="E472" s="21" t="s">
        <v>61</v>
      </c>
      <c r="F472" s="21" t="s">
        <v>195</v>
      </c>
      <c r="G472" s="21" t="s">
        <v>116</v>
      </c>
      <c r="H472" s="21" t="s">
        <v>87</v>
      </c>
      <c r="I472" s="21" t="s">
        <v>76</v>
      </c>
      <c r="J472" s="32">
        <v>305720.05</v>
      </c>
      <c r="K472" s="21" t="s">
        <v>69</v>
      </c>
      <c r="L472" s="33">
        <v>45698</v>
      </c>
      <c r="M472" s="21" t="s">
        <v>82</v>
      </c>
      <c r="N472" s="32">
        <v>1570752.15</v>
      </c>
      <c r="O472" s="21" t="s">
        <v>150</v>
      </c>
      <c r="P472" s="21" t="str">
        <f t="shared" si="42"/>
        <v>2025-02</v>
      </c>
      <c r="Q472" s="21">
        <f t="shared" si="43"/>
        <v>2025</v>
      </c>
      <c r="R472" s="34">
        <f t="shared" si="44"/>
        <v>45689</v>
      </c>
      <c r="S472" s="21">
        <f t="shared" si="45"/>
        <v>0</v>
      </c>
      <c r="T472" s="21" t="str">
        <f t="shared" si="46"/>
        <v>Card-Based</v>
      </c>
      <c r="U472" s="21" t="str">
        <f t="shared" si="47"/>
        <v>One-Time</v>
      </c>
    </row>
    <row r="473" spans="1:21" x14ac:dyDescent="0.3">
      <c r="A473" s="21" t="s">
        <v>1586</v>
      </c>
      <c r="B473" s="21">
        <v>313682</v>
      </c>
      <c r="C473" s="21" t="s">
        <v>1587</v>
      </c>
      <c r="D473" s="21" t="s">
        <v>1588</v>
      </c>
      <c r="E473" s="21" t="s">
        <v>64</v>
      </c>
      <c r="F473" s="21" t="s">
        <v>158</v>
      </c>
      <c r="G473" s="21" t="s">
        <v>108</v>
      </c>
      <c r="H473" s="21" t="s">
        <v>86</v>
      </c>
      <c r="I473" s="21" t="s">
        <v>76</v>
      </c>
      <c r="J473" s="32">
        <v>94684.54</v>
      </c>
      <c r="K473" s="21" t="s">
        <v>69</v>
      </c>
      <c r="L473" s="33">
        <v>45521</v>
      </c>
      <c r="M473" s="21" t="s">
        <v>80</v>
      </c>
      <c r="N473" s="32">
        <v>481839.38</v>
      </c>
      <c r="O473" s="21" t="s">
        <v>150</v>
      </c>
      <c r="P473" s="21" t="str">
        <f t="shared" si="42"/>
        <v>2024-08</v>
      </c>
      <c r="Q473" s="21">
        <f t="shared" si="43"/>
        <v>2024</v>
      </c>
      <c r="R473" s="34">
        <f t="shared" si="44"/>
        <v>45505</v>
      </c>
      <c r="S473" s="21">
        <f t="shared" si="45"/>
        <v>0</v>
      </c>
      <c r="T473" s="21" t="str">
        <f t="shared" si="46"/>
        <v>Card-Based</v>
      </c>
      <c r="U473" s="21" t="str">
        <f t="shared" si="47"/>
        <v>One-Time</v>
      </c>
    </row>
    <row r="474" spans="1:21" x14ac:dyDescent="0.3">
      <c r="A474" s="21" t="s">
        <v>1589</v>
      </c>
      <c r="B474" s="21">
        <v>896301</v>
      </c>
      <c r="C474" s="21" t="s">
        <v>1590</v>
      </c>
      <c r="D474" s="21" t="s">
        <v>1591</v>
      </c>
      <c r="E474" s="21" t="s">
        <v>63</v>
      </c>
      <c r="F474" s="21" t="s">
        <v>227</v>
      </c>
      <c r="G474" s="21" t="s">
        <v>118</v>
      </c>
      <c r="H474" s="21" t="s">
        <v>89</v>
      </c>
      <c r="I474" s="21" t="s">
        <v>76</v>
      </c>
      <c r="J474" s="32">
        <v>266228.63</v>
      </c>
      <c r="K474" s="21" t="s">
        <v>69</v>
      </c>
      <c r="L474" s="33">
        <v>45724</v>
      </c>
      <c r="M474" s="21" t="s">
        <v>80</v>
      </c>
      <c r="N474" s="32">
        <v>1677551.8</v>
      </c>
      <c r="O474" s="21" t="s">
        <v>150</v>
      </c>
      <c r="P474" s="21" t="str">
        <f t="shared" si="42"/>
        <v>2025-03</v>
      </c>
      <c r="Q474" s="21">
        <f t="shared" si="43"/>
        <v>2025</v>
      </c>
      <c r="R474" s="34">
        <f t="shared" si="44"/>
        <v>45717</v>
      </c>
      <c r="S474" s="21">
        <f t="shared" si="45"/>
        <v>0</v>
      </c>
      <c r="T474" s="21" t="str">
        <f t="shared" si="46"/>
        <v>Card-Based</v>
      </c>
      <c r="U474" s="21" t="str">
        <f t="shared" si="47"/>
        <v>One-Time</v>
      </c>
    </row>
    <row r="475" spans="1:21" x14ac:dyDescent="0.3">
      <c r="A475" s="21" t="s">
        <v>1592</v>
      </c>
      <c r="B475" s="21">
        <v>675784</v>
      </c>
      <c r="C475" s="21" t="s">
        <v>1593</v>
      </c>
      <c r="D475" s="21" t="s">
        <v>1594</v>
      </c>
      <c r="E475" s="21" t="s">
        <v>60</v>
      </c>
      <c r="F475" s="21" t="s">
        <v>203</v>
      </c>
      <c r="G475" s="21" t="s">
        <v>128</v>
      </c>
      <c r="H475" s="21" t="s">
        <v>88</v>
      </c>
      <c r="I475" s="21" t="s">
        <v>77</v>
      </c>
      <c r="J475" s="32">
        <v>103723.98</v>
      </c>
      <c r="K475" s="21" t="s">
        <v>72</v>
      </c>
      <c r="L475" s="33">
        <v>45639</v>
      </c>
      <c r="M475" s="21" t="s">
        <v>80</v>
      </c>
      <c r="N475" s="32">
        <v>102204.71</v>
      </c>
      <c r="O475" s="21" t="s">
        <v>150</v>
      </c>
      <c r="P475" s="21" t="str">
        <f t="shared" si="42"/>
        <v>2024-12</v>
      </c>
      <c r="Q475" s="21">
        <f t="shared" si="43"/>
        <v>2024</v>
      </c>
      <c r="R475" s="34">
        <f t="shared" si="44"/>
        <v>45627</v>
      </c>
      <c r="S475" s="21">
        <f t="shared" si="45"/>
        <v>0</v>
      </c>
      <c r="T475" s="21" t="str">
        <f t="shared" si="46"/>
        <v>Cash-Based</v>
      </c>
      <c r="U475" s="21" t="str">
        <f t="shared" si="47"/>
        <v>One-Time</v>
      </c>
    </row>
    <row r="476" spans="1:21" x14ac:dyDescent="0.3">
      <c r="A476" s="21" t="s">
        <v>1595</v>
      </c>
      <c r="B476" s="21">
        <v>555371</v>
      </c>
      <c r="C476" s="21" t="s">
        <v>1596</v>
      </c>
      <c r="D476" s="21" t="s">
        <v>1597</v>
      </c>
      <c r="E476" s="21" t="s">
        <v>64</v>
      </c>
      <c r="F476" s="21" t="s">
        <v>188</v>
      </c>
      <c r="G476" s="21" t="s">
        <v>112</v>
      </c>
      <c r="H476" s="21" t="s">
        <v>86</v>
      </c>
      <c r="I476" s="21" t="s">
        <v>77</v>
      </c>
      <c r="J476" s="32">
        <v>82951.97</v>
      </c>
      <c r="K476" s="21" t="s">
        <v>71</v>
      </c>
      <c r="L476" s="33">
        <v>45260</v>
      </c>
      <c r="M476" s="21" t="s">
        <v>80</v>
      </c>
      <c r="N476" s="32">
        <v>1906817.37</v>
      </c>
      <c r="O476" s="21" t="s">
        <v>150</v>
      </c>
      <c r="P476" s="21" t="str">
        <f t="shared" si="42"/>
        <v>2023-11</v>
      </c>
      <c r="Q476" s="21">
        <f t="shared" si="43"/>
        <v>2023</v>
      </c>
      <c r="R476" s="34">
        <f t="shared" si="44"/>
        <v>45231</v>
      </c>
      <c r="S476" s="21">
        <f t="shared" si="45"/>
        <v>0</v>
      </c>
      <c r="T476" s="21" t="str">
        <f t="shared" si="46"/>
        <v>Digital</v>
      </c>
      <c r="U476" s="21" t="str">
        <f t="shared" si="47"/>
        <v>One-Time</v>
      </c>
    </row>
    <row r="477" spans="1:21" x14ac:dyDescent="0.3">
      <c r="A477" s="21" t="s">
        <v>1598</v>
      </c>
      <c r="B477" s="21">
        <v>718015</v>
      </c>
      <c r="C477" s="21" t="s">
        <v>1599</v>
      </c>
      <c r="D477" s="21" t="s">
        <v>1600</v>
      </c>
      <c r="E477" s="21" t="s">
        <v>64</v>
      </c>
      <c r="F477" s="21" t="s">
        <v>188</v>
      </c>
      <c r="G477" s="21" t="s">
        <v>112</v>
      </c>
      <c r="H477" s="21" t="s">
        <v>89</v>
      </c>
      <c r="I477" s="21" t="s">
        <v>76</v>
      </c>
      <c r="J477" s="32">
        <v>90532.41</v>
      </c>
      <c r="K477" s="21" t="s">
        <v>72</v>
      </c>
      <c r="L477" s="33">
        <v>45470</v>
      </c>
      <c r="M477" s="21" t="s">
        <v>80</v>
      </c>
      <c r="N477" s="32">
        <v>1284948.74</v>
      </c>
      <c r="O477" s="21" t="s">
        <v>150</v>
      </c>
      <c r="P477" s="21" t="str">
        <f t="shared" si="42"/>
        <v>2024-06</v>
      </c>
      <c r="Q477" s="21">
        <f t="shared" si="43"/>
        <v>2024</v>
      </c>
      <c r="R477" s="34">
        <f t="shared" si="44"/>
        <v>45444</v>
      </c>
      <c r="S477" s="21">
        <f t="shared" si="45"/>
        <v>0</v>
      </c>
      <c r="T477" s="21" t="str">
        <f t="shared" si="46"/>
        <v>Cash-Based</v>
      </c>
      <c r="U477" s="21" t="str">
        <f t="shared" si="47"/>
        <v>One-Time</v>
      </c>
    </row>
    <row r="478" spans="1:21" x14ac:dyDescent="0.3">
      <c r="A478" s="21" t="s">
        <v>1601</v>
      </c>
      <c r="B478" s="21">
        <v>303217</v>
      </c>
      <c r="C478" s="21" t="s">
        <v>1602</v>
      </c>
      <c r="D478" s="21" t="s">
        <v>1603</v>
      </c>
      <c r="E478" s="21" t="s">
        <v>62</v>
      </c>
      <c r="F478" s="21" t="s">
        <v>310</v>
      </c>
      <c r="G478" s="21" t="s">
        <v>110</v>
      </c>
      <c r="H478" s="21" t="s">
        <v>88</v>
      </c>
      <c r="I478" s="21" t="s">
        <v>76</v>
      </c>
      <c r="J478" s="32">
        <v>25585.29</v>
      </c>
      <c r="K478" s="21" t="s">
        <v>70</v>
      </c>
      <c r="L478" s="33">
        <v>45122</v>
      </c>
      <c r="M478" s="21" t="s">
        <v>80</v>
      </c>
      <c r="N478" s="32">
        <v>1386616.39</v>
      </c>
      <c r="O478" s="21" t="s">
        <v>150</v>
      </c>
      <c r="P478" s="21" t="str">
        <f t="shared" si="42"/>
        <v>2023-07</v>
      </c>
      <c r="Q478" s="21">
        <f t="shared" si="43"/>
        <v>2023</v>
      </c>
      <c r="R478" s="34">
        <f t="shared" si="44"/>
        <v>45108</v>
      </c>
      <c r="S478" s="21">
        <f t="shared" si="45"/>
        <v>0</v>
      </c>
      <c r="T478" s="21" t="str">
        <f t="shared" si="46"/>
        <v>Card-Based</v>
      </c>
      <c r="U478" s="21" t="str">
        <f t="shared" si="47"/>
        <v>One-Time</v>
      </c>
    </row>
    <row r="479" spans="1:21" x14ac:dyDescent="0.3">
      <c r="A479" s="21" t="s">
        <v>1604</v>
      </c>
      <c r="B479" s="21">
        <v>946247</v>
      </c>
      <c r="C479" s="21" t="s">
        <v>1605</v>
      </c>
      <c r="D479" s="21" t="s">
        <v>1606</v>
      </c>
      <c r="E479" s="21" t="s">
        <v>64</v>
      </c>
      <c r="F479" s="21" t="s">
        <v>158</v>
      </c>
      <c r="G479" s="21" t="s">
        <v>108</v>
      </c>
      <c r="H479" s="21" t="s">
        <v>87</v>
      </c>
      <c r="I479" s="21" t="s">
        <v>76</v>
      </c>
      <c r="J479" s="32">
        <v>84085.59</v>
      </c>
      <c r="K479" s="21" t="s">
        <v>69</v>
      </c>
      <c r="L479" s="33">
        <v>45268</v>
      </c>
      <c r="M479" s="21" t="s">
        <v>80</v>
      </c>
      <c r="N479" s="32">
        <v>2036998.71</v>
      </c>
      <c r="O479" s="21" t="s">
        <v>150</v>
      </c>
      <c r="P479" s="21" t="str">
        <f t="shared" si="42"/>
        <v>2023-12</v>
      </c>
      <c r="Q479" s="21">
        <f t="shared" si="43"/>
        <v>2023</v>
      </c>
      <c r="R479" s="34">
        <f t="shared" si="44"/>
        <v>45261</v>
      </c>
      <c r="S479" s="21">
        <f t="shared" si="45"/>
        <v>0</v>
      </c>
      <c r="T479" s="21" t="str">
        <f t="shared" si="46"/>
        <v>Card-Based</v>
      </c>
      <c r="U479" s="21" t="str">
        <f t="shared" si="47"/>
        <v>One-Time</v>
      </c>
    </row>
    <row r="480" spans="1:21" x14ac:dyDescent="0.3">
      <c r="A480" s="21" t="s">
        <v>1607</v>
      </c>
      <c r="B480" s="21">
        <v>613463</v>
      </c>
      <c r="C480" s="21" t="s">
        <v>1608</v>
      </c>
      <c r="D480" s="21" t="s">
        <v>1609</v>
      </c>
      <c r="E480" s="21" t="s">
        <v>60</v>
      </c>
      <c r="F480" s="21" t="s">
        <v>149</v>
      </c>
      <c r="G480" s="21" t="s">
        <v>119</v>
      </c>
      <c r="H480" s="21" t="s">
        <v>88</v>
      </c>
      <c r="I480" s="21" t="s">
        <v>76</v>
      </c>
      <c r="J480" s="32">
        <v>257896.04</v>
      </c>
      <c r="K480" s="21" t="s">
        <v>71</v>
      </c>
      <c r="L480" s="33">
        <v>45607</v>
      </c>
      <c r="M480" s="21" t="s">
        <v>83</v>
      </c>
      <c r="N480" s="32">
        <v>333007.69</v>
      </c>
      <c r="O480" s="21" t="s">
        <v>150</v>
      </c>
      <c r="P480" s="21" t="str">
        <f t="shared" si="42"/>
        <v>2024-11</v>
      </c>
      <c r="Q480" s="21">
        <f t="shared" si="43"/>
        <v>2024</v>
      </c>
      <c r="R480" s="34">
        <f t="shared" si="44"/>
        <v>45597</v>
      </c>
      <c r="S480" s="21">
        <f t="shared" si="45"/>
        <v>0</v>
      </c>
      <c r="T480" s="21" t="str">
        <f t="shared" si="46"/>
        <v>Digital</v>
      </c>
      <c r="U480" s="21" t="str">
        <f t="shared" si="47"/>
        <v>One-Time</v>
      </c>
    </row>
    <row r="481" spans="1:21" x14ac:dyDescent="0.3">
      <c r="A481" s="21" t="s">
        <v>1610</v>
      </c>
      <c r="B481" s="21">
        <v>153582</v>
      </c>
      <c r="C481" s="21" t="s">
        <v>1611</v>
      </c>
      <c r="D481" s="21" t="s">
        <v>1612</v>
      </c>
      <c r="E481" s="21" t="s">
        <v>63</v>
      </c>
      <c r="F481" s="21" t="s">
        <v>207</v>
      </c>
      <c r="G481" s="21" t="s">
        <v>127</v>
      </c>
      <c r="H481" s="21" t="s">
        <v>86</v>
      </c>
      <c r="I481" s="21" t="s">
        <v>75</v>
      </c>
      <c r="J481" s="32">
        <v>142440</v>
      </c>
      <c r="K481" s="21" t="s">
        <v>70</v>
      </c>
      <c r="L481" s="33">
        <v>45560</v>
      </c>
      <c r="M481" s="21" t="s">
        <v>81</v>
      </c>
      <c r="N481" s="32">
        <v>778782.49</v>
      </c>
      <c r="O481" s="21" t="s">
        <v>150</v>
      </c>
      <c r="P481" s="21" t="str">
        <f t="shared" si="42"/>
        <v>2024-09</v>
      </c>
      <c r="Q481" s="21">
        <f t="shared" si="43"/>
        <v>2024</v>
      </c>
      <c r="R481" s="34">
        <f t="shared" si="44"/>
        <v>45536</v>
      </c>
      <c r="S481" s="21">
        <f t="shared" si="45"/>
        <v>0</v>
      </c>
      <c r="T481" s="21" t="str">
        <f t="shared" si="46"/>
        <v>Card-Based</v>
      </c>
      <c r="U481" s="21" t="str">
        <f t="shared" si="47"/>
        <v>One-Time</v>
      </c>
    </row>
    <row r="482" spans="1:21" x14ac:dyDescent="0.3">
      <c r="A482" s="21" t="s">
        <v>1613</v>
      </c>
      <c r="B482" s="21">
        <v>100803</v>
      </c>
      <c r="C482" s="21" t="s">
        <v>1614</v>
      </c>
      <c r="D482" s="21" t="s">
        <v>1615</v>
      </c>
      <c r="E482" s="21" t="s">
        <v>60</v>
      </c>
      <c r="F482" s="21" t="s">
        <v>149</v>
      </c>
      <c r="G482" s="21" t="s">
        <v>119</v>
      </c>
      <c r="H482" s="21" t="s">
        <v>88</v>
      </c>
      <c r="I482" s="21" t="s">
        <v>75</v>
      </c>
      <c r="J482" s="32">
        <v>103601.04</v>
      </c>
      <c r="K482" s="21" t="s">
        <v>71</v>
      </c>
      <c r="L482" s="33">
        <v>45181</v>
      </c>
      <c r="M482" s="21" t="s">
        <v>80</v>
      </c>
      <c r="N482" s="32">
        <v>536358.44999999995</v>
      </c>
      <c r="O482" s="21" t="s">
        <v>150</v>
      </c>
      <c r="P482" s="21" t="str">
        <f t="shared" si="42"/>
        <v>2023-09</v>
      </c>
      <c r="Q482" s="21">
        <f t="shared" si="43"/>
        <v>2023</v>
      </c>
      <c r="R482" s="34">
        <f t="shared" si="44"/>
        <v>45170</v>
      </c>
      <c r="S482" s="21">
        <f t="shared" si="45"/>
        <v>0</v>
      </c>
      <c r="T482" s="21" t="str">
        <f t="shared" si="46"/>
        <v>Digital</v>
      </c>
      <c r="U482" s="21" t="str">
        <f t="shared" si="47"/>
        <v>One-Time</v>
      </c>
    </row>
    <row r="483" spans="1:21" x14ac:dyDescent="0.3">
      <c r="A483" s="21" t="s">
        <v>1616</v>
      </c>
      <c r="B483" s="21">
        <v>520243</v>
      </c>
      <c r="C483" s="21" t="s">
        <v>1617</v>
      </c>
      <c r="D483" s="21" t="s">
        <v>1618</v>
      </c>
      <c r="E483" s="21" t="s">
        <v>61</v>
      </c>
      <c r="F483" s="21" t="s">
        <v>279</v>
      </c>
      <c r="G483" s="21" t="s">
        <v>125</v>
      </c>
      <c r="H483" s="21" t="s">
        <v>89</v>
      </c>
      <c r="I483" s="21" t="s">
        <v>78</v>
      </c>
      <c r="J483" s="32">
        <v>556413.30000000005</v>
      </c>
      <c r="K483" s="21" t="s">
        <v>71</v>
      </c>
      <c r="L483" s="33">
        <v>45825</v>
      </c>
      <c r="M483" s="21" t="s">
        <v>80</v>
      </c>
      <c r="N483" s="32">
        <v>1461132.13</v>
      </c>
      <c r="O483" s="21" t="s">
        <v>150</v>
      </c>
      <c r="P483" s="21" t="str">
        <f t="shared" si="42"/>
        <v>2025-06</v>
      </c>
      <c r="Q483" s="21">
        <f t="shared" si="43"/>
        <v>2025</v>
      </c>
      <c r="R483" s="34">
        <f t="shared" si="44"/>
        <v>45809</v>
      </c>
      <c r="S483" s="21">
        <f t="shared" si="45"/>
        <v>0</v>
      </c>
      <c r="T483" s="21" t="str">
        <f t="shared" si="46"/>
        <v>Digital</v>
      </c>
      <c r="U483" s="21" t="str">
        <f t="shared" si="47"/>
        <v>One-Time</v>
      </c>
    </row>
    <row r="484" spans="1:21" x14ac:dyDescent="0.3">
      <c r="A484" s="21" t="s">
        <v>1619</v>
      </c>
      <c r="B484" s="21">
        <v>314894</v>
      </c>
      <c r="C484" s="21" t="s">
        <v>1620</v>
      </c>
      <c r="D484" s="21" t="s">
        <v>1621</v>
      </c>
      <c r="E484" s="21" t="s">
        <v>62</v>
      </c>
      <c r="F484" s="21" t="s">
        <v>310</v>
      </c>
      <c r="G484" s="21" t="s">
        <v>110</v>
      </c>
      <c r="H484" s="21" t="s">
        <v>87</v>
      </c>
      <c r="I484" s="21" t="s">
        <v>75</v>
      </c>
      <c r="J484" s="32">
        <v>4495.21</v>
      </c>
      <c r="K484" s="21" t="s">
        <v>70</v>
      </c>
      <c r="L484" s="33">
        <v>45185</v>
      </c>
      <c r="M484" s="21" t="s">
        <v>80</v>
      </c>
      <c r="N484" s="32">
        <v>275353.39</v>
      </c>
      <c r="O484" s="21" t="s">
        <v>150</v>
      </c>
      <c r="P484" s="21" t="str">
        <f t="shared" si="42"/>
        <v>2023-09</v>
      </c>
      <c r="Q484" s="21">
        <f t="shared" si="43"/>
        <v>2023</v>
      </c>
      <c r="R484" s="34">
        <f t="shared" si="44"/>
        <v>45170</v>
      </c>
      <c r="S484" s="21">
        <f t="shared" si="45"/>
        <v>0</v>
      </c>
      <c r="T484" s="21" t="str">
        <f t="shared" si="46"/>
        <v>Card-Based</v>
      </c>
      <c r="U484" s="21" t="str">
        <f t="shared" si="47"/>
        <v>One-Time</v>
      </c>
    </row>
    <row r="485" spans="1:21" x14ac:dyDescent="0.3">
      <c r="A485" s="21" t="s">
        <v>1622</v>
      </c>
      <c r="B485" s="21">
        <v>779817</v>
      </c>
      <c r="C485" s="21" t="s">
        <v>1623</v>
      </c>
      <c r="D485" s="21" t="s">
        <v>1624</v>
      </c>
      <c r="E485" s="21" t="s">
        <v>60</v>
      </c>
      <c r="F485" s="21" t="s">
        <v>166</v>
      </c>
      <c r="G485" s="21" t="s">
        <v>107</v>
      </c>
      <c r="H485" s="21" t="s">
        <v>88</v>
      </c>
      <c r="I485" s="21" t="s">
        <v>78</v>
      </c>
      <c r="J485" s="32">
        <v>125743.7</v>
      </c>
      <c r="K485" s="21" t="s">
        <v>71</v>
      </c>
      <c r="L485" s="33">
        <v>45624</v>
      </c>
      <c r="M485" s="21" t="s">
        <v>81</v>
      </c>
      <c r="N485" s="32">
        <v>1452499.81</v>
      </c>
      <c r="O485" s="21" t="s">
        <v>150</v>
      </c>
      <c r="P485" s="21" t="str">
        <f t="shared" si="42"/>
        <v>2024-11</v>
      </c>
      <c r="Q485" s="21">
        <f t="shared" si="43"/>
        <v>2024</v>
      </c>
      <c r="R485" s="34">
        <f t="shared" si="44"/>
        <v>45597</v>
      </c>
      <c r="S485" s="21">
        <f t="shared" si="45"/>
        <v>0</v>
      </c>
      <c r="T485" s="21" t="str">
        <f t="shared" si="46"/>
        <v>Digital</v>
      </c>
      <c r="U485" s="21" t="str">
        <f t="shared" si="47"/>
        <v>One-Time</v>
      </c>
    </row>
    <row r="486" spans="1:21" x14ac:dyDescent="0.3">
      <c r="A486" s="21" t="s">
        <v>1625</v>
      </c>
      <c r="B486" s="21">
        <v>682271</v>
      </c>
      <c r="C486" s="21" t="s">
        <v>1626</v>
      </c>
      <c r="D486" s="21" t="s">
        <v>1627</v>
      </c>
      <c r="E486" s="21" t="s">
        <v>60</v>
      </c>
      <c r="F486" s="21" t="s">
        <v>286</v>
      </c>
      <c r="G486" s="21" t="s">
        <v>124</v>
      </c>
      <c r="H486" s="21" t="s">
        <v>86</v>
      </c>
      <c r="I486" s="21" t="s">
        <v>78</v>
      </c>
      <c r="J486" s="32">
        <v>420581.41</v>
      </c>
      <c r="K486" s="21" t="s">
        <v>72</v>
      </c>
      <c r="L486" s="33">
        <v>45699</v>
      </c>
      <c r="M486" s="21" t="s">
        <v>80</v>
      </c>
      <c r="N486" s="32">
        <v>893133.07</v>
      </c>
      <c r="O486" s="21" t="s">
        <v>150</v>
      </c>
      <c r="P486" s="21" t="str">
        <f t="shared" si="42"/>
        <v>2025-02</v>
      </c>
      <c r="Q486" s="21">
        <f t="shared" si="43"/>
        <v>2025</v>
      </c>
      <c r="R486" s="34">
        <f t="shared" si="44"/>
        <v>45689</v>
      </c>
      <c r="S486" s="21">
        <f t="shared" si="45"/>
        <v>0</v>
      </c>
      <c r="T486" s="21" t="str">
        <f t="shared" si="46"/>
        <v>Cash-Based</v>
      </c>
      <c r="U486" s="21" t="str">
        <f t="shared" si="47"/>
        <v>One-Time</v>
      </c>
    </row>
    <row r="487" spans="1:21" x14ac:dyDescent="0.3">
      <c r="A487" s="21" t="s">
        <v>1628</v>
      </c>
      <c r="B487" s="21">
        <v>132455</v>
      </c>
      <c r="C487" s="21" t="s">
        <v>1629</v>
      </c>
      <c r="D487" s="21" t="s">
        <v>1630</v>
      </c>
      <c r="E487" s="21" t="s">
        <v>63</v>
      </c>
      <c r="F487" s="21" t="s">
        <v>293</v>
      </c>
      <c r="G487" s="21" t="s">
        <v>126</v>
      </c>
      <c r="H487" s="21" t="s">
        <v>86</v>
      </c>
      <c r="I487" s="21" t="s">
        <v>77</v>
      </c>
      <c r="J487" s="32">
        <v>49848.98</v>
      </c>
      <c r="K487" s="21" t="s">
        <v>69</v>
      </c>
      <c r="L487" s="33">
        <v>45438</v>
      </c>
      <c r="M487" s="21" t="s">
        <v>80</v>
      </c>
      <c r="N487" s="32">
        <v>1288147.47</v>
      </c>
      <c r="O487" s="21" t="s">
        <v>150</v>
      </c>
      <c r="P487" s="21" t="str">
        <f t="shared" si="42"/>
        <v>2024-05</v>
      </c>
      <c r="Q487" s="21">
        <f t="shared" si="43"/>
        <v>2024</v>
      </c>
      <c r="R487" s="34">
        <f t="shared" si="44"/>
        <v>45413</v>
      </c>
      <c r="S487" s="21">
        <f t="shared" si="45"/>
        <v>0</v>
      </c>
      <c r="T487" s="21" t="str">
        <f t="shared" si="46"/>
        <v>Card-Based</v>
      </c>
      <c r="U487" s="21" t="str">
        <f t="shared" si="47"/>
        <v>One-Time</v>
      </c>
    </row>
    <row r="488" spans="1:21" x14ac:dyDescent="0.3">
      <c r="A488" s="21" t="s">
        <v>1631</v>
      </c>
      <c r="B488" s="21">
        <v>568353</v>
      </c>
      <c r="C488" s="21" t="s">
        <v>1632</v>
      </c>
      <c r="D488" s="21" t="s">
        <v>1633</v>
      </c>
      <c r="E488" s="21" t="s">
        <v>62</v>
      </c>
      <c r="F488" s="21" t="s">
        <v>275</v>
      </c>
      <c r="G488" s="21" t="s">
        <v>109</v>
      </c>
      <c r="H488" s="21" t="s">
        <v>89</v>
      </c>
      <c r="I488" s="21" t="s">
        <v>78</v>
      </c>
      <c r="J488" s="32">
        <v>197544.78</v>
      </c>
      <c r="K488" s="21" t="s">
        <v>69</v>
      </c>
      <c r="L488" s="33">
        <v>45207</v>
      </c>
      <c r="M488" s="21" t="s">
        <v>83</v>
      </c>
      <c r="N488" s="32">
        <v>868558.72</v>
      </c>
      <c r="O488" s="21" t="s">
        <v>150</v>
      </c>
      <c r="P488" s="21" t="str">
        <f t="shared" si="42"/>
        <v>2023-10</v>
      </c>
      <c r="Q488" s="21">
        <f t="shared" si="43"/>
        <v>2023</v>
      </c>
      <c r="R488" s="34">
        <f t="shared" si="44"/>
        <v>45200</v>
      </c>
      <c r="S488" s="21">
        <f t="shared" si="45"/>
        <v>0</v>
      </c>
      <c r="T488" s="21" t="str">
        <f t="shared" si="46"/>
        <v>Card-Based</v>
      </c>
      <c r="U488" s="21" t="str">
        <f t="shared" si="47"/>
        <v>One-Time</v>
      </c>
    </row>
    <row r="489" spans="1:21" x14ac:dyDescent="0.3">
      <c r="A489" s="21" t="s">
        <v>1634</v>
      </c>
      <c r="B489" s="21">
        <v>802444</v>
      </c>
      <c r="C489" s="21" t="s">
        <v>1635</v>
      </c>
      <c r="D489" s="21" t="s">
        <v>1636</v>
      </c>
      <c r="E489" s="21" t="s">
        <v>61</v>
      </c>
      <c r="F489" s="21" t="s">
        <v>330</v>
      </c>
      <c r="G489" s="21" t="s">
        <v>121</v>
      </c>
      <c r="H489" s="21" t="s">
        <v>87</v>
      </c>
      <c r="I489" s="21" t="s">
        <v>77</v>
      </c>
      <c r="J489" s="32">
        <v>141177.64000000001</v>
      </c>
      <c r="K489" s="21" t="s">
        <v>68</v>
      </c>
      <c r="L489" s="33">
        <v>45587</v>
      </c>
      <c r="M489" s="21" t="s">
        <v>80</v>
      </c>
      <c r="N489" s="32">
        <v>1843493.98</v>
      </c>
      <c r="O489" s="21" t="s">
        <v>150</v>
      </c>
      <c r="P489" s="21" t="str">
        <f t="shared" si="42"/>
        <v>2024-10</v>
      </c>
      <c r="Q489" s="21">
        <f t="shared" si="43"/>
        <v>2024</v>
      </c>
      <c r="R489" s="34">
        <f t="shared" si="44"/>
        <v>45566</v>
      </c>
      <c r="S489" s="21">
        <f t="shared" si="45"/>
        <v>0</v>
      </c>
      <c r="T489" s="21" t="str">
        <f t="shared" si="46"/>
        <v>Digital</v>
      </c>
      <c r="U489" s="21" t="str">
        <f t="shared" si="47"/>
        <v>One-Time</v>
      </c>
    </row>
    <row r="490" spans="1:21" x14ac:dyDescent="0.3">
      <c r="A490" s="21" t="s">
        <v>1637</v>
      </c>
      <c r="B490" s="21">
        <v>978548</v>
      </c>
      <c r="C490" s="21" t="s">
        <v>1638</v>
      </c>
      <c r="D490" s="21" t="s">
        <v>1639</v>
      </c>
      <c r="E490" s="21" t="s">
        <v>62</v>
      </c>
      <c r="F490" s="21" t="s">
        <v>199</v>
      </c>
      <c r="G490" s="21" t="s">
        <v>120</v>
      </c>
      <c r="H490" s="21" t="s">
        <v>87</v>
      </c>
      <c r="I490" s="21" t="s">
        <v>78</v>
      </c>
      <c r="J490" s="32">
        <v>50422.44</v>
      </c>
      <c r="K490" s="21" t="s">
        <v>72</v>
      </c>
      <c r="L490" s="33">
        <v>45670</v>
      </c>
      <c r="M490" s="21" t="s">
        <v>80</v>
      </c>
      <c r="N490" s="32">
        <v>322201.67</v>
      </c>
      <c r="O490" s="21" t="s">
        <v>150</v>
      </c>
      <c r="P490" s="21" t="str">
        <f t="shared" si="42"/>
        <v>2025-01</v>
      </c>
      <c r="Q490" s="21">
        <f t="shared" si="43"/>
        <v>2025</v>
      </c>
      <c r="R490" s="34">
        <f t="shared" si="44"/>
        <v>45658</v>
      </c>
      <c r="S490" s="21">
        <f t="shared" si="45"/>
        <v>0</v>
      </c>
      <c r="T490" s="21" t="str">
        <f t="shared" si="46"/>
        <v>Cash-Based</v>
      </c>
      <c r="U490" s="21" t="str">
        <f t="shared" si="47"/>
        <v>One-Time</v>
      </c>
    </row>
    <row r="491" spans="1:21" x14ac:dyDescent="0.3">
      <c r="A491" s="21" t="s">
        <v>1640</v>
      </c>
      <c r="B491" s="21">
        <v>851257</v>
      </c>
      <c r="C491" s="21" t="s">
        <v>1641</v>
      </c>
      <c r="D491" s="21" t="s">
        <v>1642</v>
      </c>
      <c r="E491" s="21" t="s">
        <v>64</v>
      </c>
      <c r="F491" s="21" t="s">
        <v>188</v>
      </c>
      <c r="G491" s="21" t="s">
        <v>112</v>
      </c>
      <c r="H491" s="21" t="s">
        <v>86</v>
      </c>
      <c r="I491" s="21" t="s">
        <v>76</v>
      </c>
      <c r="J491" s="32">
        <v>342132.86</v>
      </c>
      <c r="K491" s="21" t="s">
        <v>68</v>
      </c>
      <c r="L491" s="33">
        <v>45164</v>
      </c>
      <c r="M491" s="21" t="s">
        <v>80</v>
      </c>
      <c r="N491" s="32">
        <v>884872.35</v>
      </c>
      <c r="O491" s="21" t="s">
        <v>150</v>
      </c>
      <c r="P491" s="21" t="str">
        <f t="shared" si="42"/>
        <v>2023-08</v>
      </c>
      <c r="Q491" s="21">
        <f t="shared" si="43"/>
        <v>2023</v>
      </c>
      <c r="R491" s="34">
        <f t="shared" si="44"/>
        <v>45139</v>
      </c>
      <c r="S491" s="21">
        <f t="shared" si="45"/>
        <v>0</v>
      </c>
      <c r="T491" s="21" t="str">
        <f t="shared" si="46"/>
        <v>Digital</v>
      </c>
      <c r="U491" s="21" t="str">
        <f t="shared" si="47"/>
        <v>One-Time</v>
      </c>
    </row>
    <row r="492" spans="1:21" x14ac:dyDescent="0.3">
      <c r="A492" s="21" t="s">
        <v>1643</v>
      </c>
      <c r="B492" s="21">
        <v>795373</v>
      </c>
      <c r="C492" s="21" t="s">
        <v>1644</v>
      </c>
      <c r="D492" s="21" t="s">
        <v>1645</v>
      </c>
      <c r="E492" s="21" t="s">
        <v>61</v>
      </c>
      <c r="F492" s="21" t="s">
        <v>195</v>
      </c>
      <c r="G492" s="21" t="s">
        <v>116</v>
      </c>
      <c r="H492" s="21" t="s">
        <v>89</v>
      </c>
      <c r="I492" s="21" t="s">
        <v>75</v>
      </c>
      <c r="J492" s="32">
        <v>232001.45</v>
      </c>
      <c r="K492" s="21" t="s">
        <v>69</v>
      </c>
      <c r="L492" s="33">
        <v>45680</v>
      </c>
      <c r="M492" s="21" t="s">
        <v>80</v>
      </c>
      <c r="N492" s="32">
        <v>669999.41</v>
      </c>
      <c r="O492" s="21" t="s">
        <v>150</v>
      </c>
      <c r="P492" s="21" t="str">
        <f t="shared" si="42"/>
        <v>2025-01</v>
      </c>
      <c r="Q492" s="21">
        <f t="shared" si="43"/>
        <v>2025</v>
      </c>
      <c r="R492" s="34">
        <f t="shared" si="44"/>
        <v>45658</v>
      </c>
      <c r="S492" s="21">
        <f t="shared" si="45"/>
        <v>0</v>
      </c>
      <c r="T492" s="21" t="str">
        <f t="shared" si="46"/>
        <v>Card-Based</v>
      </c>
      <c r="U492" s="21" t="str">
        <f t="shared" si="47"/>
        <v>One-Time</v>
      </c>
    </row>
    <row r="493" spans="1:21" x14ac:dyDescent="0.3">
      <c r="A493" s="21" t="s">
        <v>1646</v>
      </c>
      <c r="B493" s="21">
        <v>117914</v>
      </c>
      <c r="C493" s="21" t="s">
        <v>1647</v>
      </c>
      <c r="D493" s="21" t="s">
        <v>1648</v>
      </c>
      <c r="E493" s="21" t="s">
        <v>60</v>
      </c>
      <c r="F493" s="21" t="s">
        <v>173</v>
      </c>
      <c r="G493" s="21" t="s">
        <v>117</v>
      </c>
      <c r="H493" s="21" t="s">
        <v>89</v>
      </c>
      <c r="I493" s="21" t="s">
        <v>77</v>
      </c>
      <c r="J493" s="32">
        <v>109038.03</v>
      </c>
      <c r="K493" s="21" t="s">
        <v>72</v>
      </c>
      <c r="L493" s="33">
        <v>45303</v>
      </c>
      <c r="M493" s="21" t="s">
        <v>80</v>
      </c>
      <c r="N493" s="32">
        <v>1219596.98</v>
      </c>
      <c r="O493" s="21" t="s">
        <v>150</v>
      </c>
      <c r="P493" s="21" t="str">
        <f t="shared" si="42"/>
        <v>2024-01</v>
      </c>
      <c r="Q493" s="21">
        <f t="shared" si="43"/>
        <v>2024</v>
      </c>
      <c r="R493" s="34">
        <f t="shared" si="44"/>
        <v>45292</v>
      </c>
      <c r="S493" s="21">
        <f t="shared" si="45"/>
        <v>0</v>
      </c>
      <c r="T493" s="21" t="str">
        <f t="shared" si="46"/>
        <v>Cash-Based</v>
      </c>
      <c r="U493" s="21" t="str">
        <f t="shared" si="47"/>
        <v>One-Time</v>
      </c>
    </row>
    <row r="494" spans="1:21" x14ac:dyDescent="0.3">
      <c r="A494" s="21" t="s">
        <v>1649</v>
      </c>
      <c r="B494" s="21">
        <v>648879</v>
      </c>
      <c r="C494" s="21" t="s">
        <v>1650</v>
      </c>
      <c r="D494" s="21" t="s">
        <v>1651</v>
      </c>
      <c r="E494" s="21" t="s">
        <v>63</v>
      </c>
      <c r="F494" s="21" t="s">
        <v>207</v>
      </c>
      <c r="G494" s="21" t="s">
        <v>127</v>
      </c>
      <c r="H494" s="21" t="s">
        <v>87</v>
      </c>
      <c r="I494" s="21" t="s">
        <v>76</v>
      </c>
      <c r="J494" s="32">
        <v>475452.83</v>
      </c>
      <c r="K494" s="21" t="s">
        <v>71</v>
      </c>
      <c r="L494" s="33">
        <v>45256</v>
      </c>
      <c r="M494" s="21" t="s">
        <v>82</v>
      </c>
      <c r="N494" s="32">
        <v>917029.6</v>
      </c>
      <c r="O494" s="21" t="s">
        <v>150</v>
      </c>
      <c r="P494" s="21" t="str">
        <f t="shared" si="42"/>
        <v>2023-11</v>
      </c>
      <c r="Q494" s="21">
        <f t="shared" si="43"/>
        <v>2023</v>
      </c>
      <c r="R494" s="34">
        <f t="shared" si="44"/>
        <v>45231</v>
      </c>
      <c r="S494" s="21">
        <f t="shared" si="45"/>
        <v>0</v>
      </c>
      <c r="T494" s="21" t="str">
        <f t="shared" si="46"/>
        <v>Digital</v>
      </c>
      <c r="U494" s="21" t="str">
        <f t="shared" si="47"/>
        <v>One-Time</v>
      </c>
    </row>
    <row r="495" spans="1:21" x14ac:dyDescent="0.3">
      <c r="A495" s="21" t="s">
        <v>1652</v>
      </c>
      <c r="B495" s="21">
        <v>128077</v>
      </c>
      <c r="C495" s="21" t="s">
        <v>1653</v>
      </c>
      <c r="D495" s="21" t="s">
        <v>1654</v>
      </c>
      <c r="E495" s="21" t="s">
        <v>61</v>
      </c>
      <c r="F495" s="21" t="s">
        <v>330</v>
      </c>
      <c r="G495" s="21" t="s">
        <v>121</v>
      </c>
      <c r="H495" s="21" t="s">
        <v>86</v>
      </c>
      <c r="I495" s="21" t="s">
        <v>75</v>
      </c>
      <c r="J495" s="32">
        <v>281600.58</v>
      </c>
      <c r="K495" s="21" t="s">
        <v>68</v>
      </c>
      <c r="L495" s="33">
        <v>45150</v>
      </c>
      <c r="M495" s="21" t="s">
        <v>80</v>
      </c>
      <c r="N495" s="32">
        <v>2051395.59</v>
      </c>
      <c r="O495" s="21" t="s">
        <v>150</v>
      </c>
      <c r="P495" s="21" t="str">
        <f t="shared" si="42"/>
        <v>2023-08</v>
      </c>
      <c r="Q495" s="21">
        <f t="shared" si="43"/>
        <v>2023</v>
      </c>
      <c r="R495" s="34">
        <f t="shared" si="44"/>
        <v>45139</v>
      </c>
      <c r="S495" s="21">
        <f t="shared" si="45"/>
        <v>0</v>
      </c>
      <c r="T495" s="21" t="str">
        <f t="shared" si="46"/>
        <v>Digital</v>
      </c>
      <c r="U495" s="21" t="str">
        <f t="shared" si="47"/>
        <v>One-Time</v>
      </c>
    </row>
    <row r="496" spans="1:21" x14ac:dyDescent="0.3">
      <c r="A496" s="21" t="s">
        <v>1655</v>
      </c>
      <c r="B496" s="21">
        <v>882387</v>
      </c>
      <c r="C496" s="21" t="s">
        <v>1656</v>
      </c>
      <c r="D496" s="21" t="s">
        <v>1657</v>
      </c>
      <c r="E496" s="21" t="s">
        <v>64</v>
      </c>
      <c r="F496" s="21" t="s">
        <v>162</v>
      </c>
      <c r="G496" s="21" t="s">
        <v>114</v>
      </c>
      <c r="H496" s="21" t="s">
        <v>88</v>
      </c>
      <c r="I496" s="21" t="s">
        <v>75</v>
      </c>
      <c r="J496" s="32">
        <v>44124.36</v>
      </c>
      <c r="K496" s="21" t="s">
        <v>72</v>
      </c>
      <c r="L496" s="33">
        <v>45597</v>
      </c>
      <c r="M496" s="21" t="s">
        <v>83</v>
      </c>
      <c r="N496" s="32">
        <v>1627631.54</v>
      </c>
      <c r="O496" s="21" t="s">
        <v>150</v>
      </c>
      <c r="P496" s="21" t="str">
        <f t="shared" si="42"/>
        <v>2024-11</v>
      </c>
      <c r="Q496" s="21">
        <f t="shared" si="43"/>
        <v>2024</v>
      </c>
      <c r="R496" s="34">
        <f t="shared" si="44"/>
        <v>45597</v>
      </c>
      <c r="S496" s="21">
        <f t="shared" si="45"/>
        <v>0</v>
      </c>
      <c r="T496" s="21" t="str">
        <f t="shared" si="46"/>
        <v>Cash-Based</v>
      </c>
      <c r="U496" s="21" t="str">
        <f t="shared" si="47"/>
        <v>One-Time</v>
      </c>
    </row>
    <row r="497" spans="1:21" x14ac:dyDescent="0.3">
      <c r="A497" s="21" t="s">
        <v>1658</v>
      </c>
      <c r="B497" s="21">
        <v>372576</v>
      </c>
      <c r="C497" s="21" t="s">
        <v>1659</v>
      </c>
      <c r="D497" s="21" t="s">
        <v>1660</v>
      </c>
      <c r="E497" s="21" t="s">
        <v>62</v>
      </c>
      <c r="F497" s="21" t="s">
        <v>199</v>
      </c>
      <c r="G497" s="21" t="s">
        <v>120</v>
      </c>
      <c r="H497" s="21" t="s">
        <v>89</v>
      </c>
      <c r="I497" s="21" t="s">
        <v>75</v>
      </c>
      <c r="J497" s="32">
        <v>16012.31</v>
      </c>
      <c r="K497" s="21" t="s">
        <v>70</v>
      </c>
      <c r="L497" s="33">
        <v>45422</v>
      </c>
      <c r="M497" s="21" t="s">
        <v>82</v>
      </c>
      <c r="N497" s="32">
        <v>1116498.8999999999</v>
      </c>
      <c r="O497" s="21" t="s">
        <v>150</v>
      </c>
      <c r="P497" s="21" t="str">
        <f t="shared" si="42"/>
        <v>2024-05</v>
      </c>
      <c r="Q497" s="21">
        <f t="shared" si="43"/>
        <v>2024</v>
      </c>
      <c r="R497" s="34">
        <f t="shared" si="44"/>
        <v>45413</v>
      </c>
      <c r="S497" s="21">
        <f t="shared" si="45"/>
        <v>0</v>
      </c>
      <c r="T497" s="21" t="str">
        <f t="shared" si="46"/>
        <v>Card-Based</v>
      </c>
      <c r="U497" s="21" t="str">
        <f t="shared" si="47"/>
        <v>One-Time</v>
      </c>
    </row>
    <row r="498" spans="1:21" x14ac:dyDescent="0.3">
      <c r="A498" s="21" t="s">
        <v>1661</v>
      </c>
      <c r="B498" s="21">
        <v>973339</v>
      </c>
      <c r="C498" s="21" t="s">
        <v>1662</v>
      </c>
      <c r="D498" s="21" t="s">
        <v>1663</v>
      </c>
      <c r="E498" s="21" t="s">
        <v>64</v>
      </c>
      <c r="F498" s="21" t="s">
        <v>177</v>
      </c>
      <c r="G498" s="21" t="s">
        <v>113</v>
      </c>
      <c r="H498" s="21" t="s">
        <v>89</v>
      </c>
      <c r="I498" s="21" t="s">
        <v>77</v>
      </c>
      <c r="J498" s="32">
        <v>129630.37</v>
      </c>
      <c r="K498" s="21" t="s">
        <v>69</v>
      </c>
      <c r="L498" s="33">
        <v>45323</v>
      </c>
      <c r="M498" s="21" t="s">
        <v>80</v>
      </c>
      <c r="N498" s="32">
        <v>1652562.49</v>
      </c>
      <c r="O498" s="21" t="s">
        <v>150</v>
      </c>
      <c r="P498" s="21" t="str">
        <f t="shared" si="42"/>
        <v>2024-02</v>
      </c>
      <c r="Q498" s="21">
        <f t="shared" si="43"/>
        <v>2024</v>
      </c>
      <c r="R498" s="34">
        <f t="shared" si="44"/>
        <v>45323</v>
      </c>
      <c r="S498" s="21">
        <f t="shared" si="45"/>
        <v>0</v>
      </c>
      <c r="T498" s="21" t="str">
        <f t="shared" si="46"/>
        <v>Card-Based</v>
      </c>
      <c r="U498" s="21" t="str">
        <f t="shared" si="47"/>
        <v>One-Time</v>
      </c>
    </row>
    <row r="499" spans="1:21" x14ac:dyDescent="0.3">
      <c r="A499" s="21" t="s">
        <v>1664</v>
      </c>
      <c r="B499" s="21">
        <v>227576</v>
      </c>
      <c r="C499" s="21" t="s">
        <v>1665</v>
      </c>
      <c r="D499" s="21" t="s">
        <v>1666</v>
      </c>
      <c r="E499" s="21" t="s">
        <v>62</v>
      </c>
      <c r="F499" s="21" t="s">
        <v>181</v>
      </c>
      <c r="G499" s="21" t="s">
        <v>123</v>
      </c>
      <c r="H499" s="21" t="s">
        <v>88</v>
      </c>
      <c r="I499" s="21" t="s">
        <v>78</v>
      </c>
      <c r="J499" s="32">
        <v>307632.5</v>
      </c>
      <c r="K499" s="21" t="s">
        <v>72</v>
      </c>
      <c r="L499" s="33">
        <v>45407</v>
      </c>
      <c r="M499" s="21" t="s">
        <v>80</v>
      </c>
      <c r="N499" s="32">
        <v>448240.99</v>
      </c>
      <c r="O499" s="21" t="s">
        <v>150</v>
      </c>
      <c r="P499" s="21" t="str">
        <f t="shared" si="42"/>
        <v>2024-04</v>
      </c>
      <c r="Q499" s="21">
        <f t="shared" si="43"/>
        <v>2024</v>
      </c>
      <c r="R499" s="34">
        <f t="shared" si="44"/>
        <v>45383</v>
      </c>
      <c r="S499" s="21">
        <f t="shared" si="45"/>
        <v>0</v>
      </c>
      <c r="T499" s="21" t="str">
        <f t="shared" si="46"/>
        <v>Cash-Based</v>
      </c>
      <c r="U499" s="21" t="str">
        <f t="shared" si="47"/>
        <v>One-Time</v>
      </c>
    </row>
    <row r="500" spans="1:21" x14ac:dyDescent="0.3">
      <c r="A500" s="21" t="s">
        <v>1667</v>
      </c>
      <c r="B500" s="21">
        <v>209976</v>
      </c>
      <c r="C500" s="21" t="s">
        <v>1668</v>
      </c>
      <c r="D500" s="21" t="s">
        <v>1669</v>
      </c>
      <c r="E500" s="21" t="s">
        <v>62</v>
      </c>
      <c r="F500" s="21" t="s">
        <v>199</v>
      </c>
      <c r="G500" s="21" t="s">
        <v>120</v>
      </c>
      <c r="H500" s="21" t="s">
        <v>87</v>
      </c>
      <c r="I500" s="21" t="s">
        <v>76</v>
      </c>
      <c r="J500" s="32">
        <v>345920.42</v>
      </c>
      <c r="K500" s="21" t="s">
        <v>69</v>
      </c>
      <c r="L500" s="33">
        <v>45535</v>
      </c>
      <c r="M500" s="21" t="s">
        <v>80</v>
      </c>
      <c r="N500" s="32">
        <v>1012522.46</v>
      </c>
      <c r="O500" s="21" t="s">
        <v>150</v>
      </c>
      <c r="P500" s="21" t="str">
        <f t="shared" si="42"/>
        <v>2024-08</v>
      </c>
      <c r="Q500" s="21">
        <f t="shared" si="43"/>
        <v>2024</v>
      </c>
      <c r="R500" s="34">
        <f t="shared" si="44"/>
        <v>45505</v>
      </c>
      <c r="S500" s="21">
        <f t="shared" si="45"/>
        <v>0</v>
      </c>
      <c r="T500" s="21" t="str">
        <f t="shared" si="46"/>
        <v>Card-Based</v>
      </c>
      <c r="U500" s="21" t="str">
        <f t="shared" si="47"/>
        <v>One-Time</v>
      </c>
    </row>
    <row r="501" spans="1:21" x14ac:dyDescent="0.3">
      <c r="A501" s="21" t="s">
        <v>1670</v>
      </c>
      <c r="B501" s="21">
        <v>429704</v>
      </c>
      <c r="C501" s="21" t="s">
        <v>1671</v>
      </c>
      <c r="D501" s="21" t="s">
        <v>1672</v>
      </c>
      <c r="E501" s="21" t="s">
        <v>60</v>
      </c>
      <c r="F501" s="21" t="s">
        <v>286</v>
      </c>
      <c r="G501" s="21" t="s">
        <v>124</v>
      </c>
      <c r="H501" s="21" t="s">
        <v>87</v>
      </c>
      <c r="I501" s="21" t="s">
        <v>75</v>
      </c>
      <c r="J501" s="32">
        <v>140084.76999999999</v>
      </c>
      <c r="K501" s="21" t="s">
        <v>71</v>
      </c>
      <c r="L501" s="33">
        <v>45842</v>
      </c>
      <c r="M501" s="21" t="s">
        <v>80</v>
      </c>
      <c r="N501" s="32">
        <v>1217164.3999999999</v>
      </c>
      <c r="O501" s="21" t="s">
        <v>150</v>
      </c>
      <c r="P501" s="21" t="str">
        <f t="shared" si="42"/>
        <v>2025-07</v>
      </c>
      <c r="Q501" s="21">
        <f t="shared" si="43"/>
        <v>2025</v>
      </c>
      <c r="R501" s="34">
        <f t="shared" si="44"/>
        <v>45839</v>
      </c>
      <c r="S501" s="21">
        <f t="shared" si="45"/>
        <v>0</v>
      </c>
      <c r="T501" s="21" t="str">
        <f t="shared" si="46"/>
        <v>Digital</v>
      </c>
      <c r="U501" s="21" t="str">
        <f t="shared" si="47"/>
        <v>One-Time</v>
      </c>
    </row>
  </sheetData>
  <autoFilter ref="A1:U5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20" customWidth="1"/>
    <col min="3" max="3" width="16" customWidth="1"/>
    <col min="4" max="4" width="10" customWidth="1"/>
    <col min="5" max="5" width="20" customWidth="1"/>
    <col min="6" max="6" width="18" customWidth="1"/>
    <col min="7" max="7" width="17" customWidth="1"/>
    <col min="8" max="8" width="14" customWidth="1"/>
    <col min="9" max="9" width="16" customWidth="1"/>
    <col min="10" max="10" width="14" customWidth="1"/>
    <col min="11" max="11" width="16" customWidth="1"/>
  </cols>
  <sheetData>
    <row r="1" spans="1:11" ht="17.399999999999999" x14ac:dyDescent="0.3">
      <c r="A1" s="17" t="s">
        <v>1673</v>
      </c>
    </row>
    <row r="2" spans="1:11" x14ac:dyDescent="0.3">
      <c r="A2" s="16" t="s">
        <v>1674</v>
      </c>
    </row>
    <row r="4" spans="1:11" ht="26.4" x14ac:dyDescent="0.3">
      <c r="A4" s="18" t="s">
        <v>133</v>
      </c>
      <c r="B4" s="18" t="s">
        <v>135</v>
      </c>
      <c r="C4" s="18" t="s">
        <v>136</v>
      </c>
      <c r="D4" s="18" t="s">
        <v>54</v>
      </c>
      <c r="E4" s="18" t="s">
        <v>138</v>
      </c>
      <c r="F4" s="18" t="s">
        <v>85</v>
      </c>
      <c r="G4" s="18" t="s">
        <v>74</v>
      </c>
      <c r="H4" s="18" t="s">
        <v>67</v>
      </c>
      <c r="I4" s="18" t="s">
        <v>139</v>
      </c>
      <c r="J4" s="18" t="s">
        <v>140</v>
      </c>
      <c r="K4" s="18" t="s">
        <v>141</v>
      </c>
    </row>
    <row r="5" spans="1:11" x14ac:dyDescent="0.3">
      <c r="A5" s="24" t="s">
        <v>1253</v>
      </c>
      <c r="B5" s="24" t="s">
        <v>1254</v>
      </c>
      <c r="C5" s="24" t="s">
        <v>1255</v>
      </c>
      <c r="D5" s="24" t="s">
        <v>60</v>
      </c>
      <c r="E5" s="24" t="s">
        <v>107</v>
      </c>
      <c r="F5" s="24" t="s">
        <v>86</v>
      </c>
      <c r="G5" s="24" t="s">
        <v>76</v>
      </c>
      <c r="H5" s="24" t="s">
        <v>70</v>
      </c>
      <c r="I5" s="35">
        <v>477061.46</v>
      </c>
      <c r="J5" s="36">
        <v>45450</v>
      </c>
      <c r="K5" s="24" t="s">
        <v>80</v>
      </c>
    </row>
    <row r="6" spans="1:11" x14ac:dyDescent="0.3">
      <c r="A6" s="24" t="s">
        <v>1091</v>
      </c>
      <c r="B6" s="24" t="s">
        <v>1092</v>
      </c>
      <c r="C6" s="24" t="s">
        <v>1093</v>
      </c>
      <c r="D6" s="24" t="s">
        <v>64</v>
      </c>
      <c r="E6" s="24" t="s">
        <v>114</v>
      </c>
      <c r="F6" s="24" t="s">
        <v>87</v>
      </c>
      <c r="G6" s="24" t="s">
        <v>78</v>
      </c>
      <c r="H6" s="24" t="s">
        <v>72</v>
      </c>
      <c r="I6" s="35">
        <v>460250.13</v>
      </c>
      <c r="J6" s="36">
        <v>45371</v>
      </c>
      <c r="K6" s="24" t="s">
        <v>80</v>
      </c>
    </row>
    <row r="7" spans="1:11" x14ac:dyDescent="0.3">
      <c r="A7" s="24" t="s">
        <v>875</v>
      </c>
      <c r="B7" s="24" t="s">
        <v>876</v>
      </c>
      <c r="C7" s="24" t="s">
        <v>877</v>
      </c>
      <c r="D7" s="24" t="s">
        <v>63</v>
      </c>
      <c r="E7" s="24" t="s">
        <v>115</v>
      </c>
      <c r="F7" s="24" t="s">
        <v>87</v>
      </c>
      <c r="G7" s="24" t="s">
        <v>75</v>
      </c>
      <c r="H7" s="24" t="s">
        <v>72</v>
      </c>
      <c r="I7" s="35">
        <v>263052.93</v>
      </c>
      <c r="J7" s="36">
        <v>45367</v>
      </c>
      <c r="K7" s="24" t="s">
        <v>83</v>
      </c>
    </row>
    <row r="8" spans="1:11" x14ac:dyDescent="0.3">
      <c r="A8" s="24" t="s">
        <v>464</v>
      </c>
      <c r="B8" s="24" t="s">
        <v>465</v>
      </c>
      <c r="C8" s="24" t="s">
        <v>466</v>
      </c>
      <c r="D8" s="24" t="s">
        <v>60</v>
      </c>
      <c r="E8" s="24" t="s">
        <v>107</v>
      </c>
      <c r="F8" s="24" t="s">
        <v>89</v>
      </c>
      <c r="G8" s="24" t="s">
        <v>78</v>
      </c>
      <c r="H8" s="24" t="s">
        <v>71</v>
      </c>
      <c r="I8" s="35">
        <v>238817.39</v>
      </c>
      <c r="J8" s="36">
        <v>45580</v>
      </c>
      <c r="K8" s="24" t="s">
        <v>80</v>
      </c>
    </row>
    <row r="9" spans="1:11" x14ac:dyDescent="0.3">
      <c r="A9" s="24" t="s">
        <v>307</v>
      </c>
      <c r="B9" s="24" t="s">
        <v>308</v>
      </c>
      <c r="C9" s="24" t="s">
        <v>309</v>
      </c>
      <c r="D9" s="24" t="s">
        <v>62</v>
      </c>
      <c r="E9" s="24" t="s">
        <v>110</v>
      </c>
      <c r="F9" s="24" t="s">
        <v>88</v>
      </c>
      <c r="G9" s="24" t="s">
        <v>76</v>
      </c>
      <c r="H9" s="24" t="s">
        <v>70</v>
      </c>
      <c r="I9" s="35">
        <v>228752.03</v>
      </c>
      <c r="J9" s="36">
        <v>45348</v>
      </c>
      <c r="K9" s="24" t="s">
        <v>80</v>
      </c>
    </row>
    <row r="10" spans="1:11" x14ac:dyDescent="0.3">
      <c r="A10" s="24" t="s">
        <v>1292</v>
      </c>
      <c r="B10" s="24" t="s">
        <v>1293</v>
      </c>
      <c r="C10" s="24" t="s">
        <v>1294</v>
      </c>
      <c r="D10" s="24" t="s">
        <v>64</v>
      </c>
      <c r="E10" s="24" t="s">
        <v>108</v>
      </c>
      <c r="F10" s="24" t="s">
        <v>86</v>
      </c>
      <c r="G10" s="24" t="s">
        <v>76</v>
      </c>
      <c r="H10" s="24" t="s">
        <v>72</v>
      </c>
      <c r="I10" s="35">
        <v>151050.63</v>
      </c>
      <c r="J10" s="36">
        <v>45380</v>
      </c>
      <c r="K10" s="24" t="s">
        <v>82</v>
      </c>
    </row>
    <row r="11" spans="1:11" x14ac:dyDescent="0.3">
      <c r="A11" s="24" t="s">
        <v>593</v>
      </c>
      <c r="B11" s="24" t="s">
        <v>594</v>
      </c>
      <c r="C11" s="24" t="s">
        <v>595</v>
      </c>
      <c r="D11" s="24" t="s">
        <v>62</v>
      </c>
      <c r="E11" s="24" t="s">
        <v>109</v>
      </c>
      <c r="F11" s="24" t="s">
        <v>86</v>
      </c>
      <c r="G11" s="24" t="s">
        <v>76</v>
      </c>
      <c r="H11" s="24" t="s">
        <v>68</v>
      </c>
      <c r="I11" s="35">
        <v>118445.89</v>
      </c>
      <c r="J11" s="36">
        <v>45791</v>
      </c>
      <c r="K11" s="24" t="s">
        <v>80</v>
      </c>
    </row>
    <row r="12" spans="1:11" x14ac:dyDescent="0.3">
      <c r="A12" s="24" t="s">
        <v>425</v>
      </c>
      <c r="B12" s="24" t="s">
        <v>426</v>
      </c>
      <c r="C12" s="24" t="s">
        <v>427</v>
      </c>
      <c r="D12" s="24" t="s">
        <v>64</v>
      </c>
      <c r="E12" s="24" t="s">
        <v>112</v>
      </c>
      <c r="F12" s="24" t="s">
        <v>87</v>
      </c>
      <c r="G12" s="24" t="s">
        <v>77</v>
      </c>
      <c r="H12" s="24" t="s">
        <v>69</v>
      </c>
      <c r="I12" s="35">
        <v>113984.02</v>
      </c>
      <c r="J12" s="36">
        <v>45567</v>
      </c>
      <c r="K12" s="24" t="s">
        <v>80</v>
      </c>
    </row>
    <row r="13" spans="1:11" x14ac:dyDescent="0.3">
      <c r="A13" s="24" t="s">
        <v>734</v>
      </c>
      <c r="B13" s="24" t="s">
        <v>735</v>
      </c>
      <c r="C13" s="24" t="s">
        <v>736</v>
      </c>
      <c r="D13" s="24" t="s">
        <v>64</v>
      </c>
      <c r="E13" s="24" t="s">
        <v>113</v>
      </c>
      <c r="F13" s="24" t="s">
        <v>86</v>
      </c>
      <c r="G13" s="24" t="s">
        <v>77</v>
      </c>
      <c r="H13" s="24" t="s">
        <v>72</v>
      </c>
      <c r="I13" s="35">
        <v>94310.27</v>
      </c>
      <c r="J13" s="36">
        <v>45623</v>
      </c>
      <c r="K13" s="24" t="s">
        <v>80</v>
      </c>
    </row>
    <row r="14" spans="1:11" x14ac:dyDescent="0.3">
      <c r="A14" s="24" t="s">
        <v>1058</v>
      </c>
      <c r="B14" s="24" t="s">
        <v>1059</v>
      </c>
      <c r="C14" s="24" t="s">
        <v>1060</v>
      </c>
      <c r="D14" s="24" t="s">
        <v>60</v>
      </c>
      <c r="E14" s="24" t="s">
        <v>107</v>
      </c>
      <c r="F14" s="24" t="s">
        <v>86</v>
      </c>
      <c r="G14" s="24" t="s">
        <v>77</v>
      </c>
      <c r="H14" s="24" t="s">
        <v>71</v>
      </c>
      <c r="I14" s="35">
        <v>85345.93</v>
      </c>
      <c r="J14" s="36">
        <v>45443</v>
      </c>
      <c r="K14" s="24" t="s">
        <v>80</v>
      </c>
    </row>
    <row r="15" spans="1:11" x14ac:dyDescent="0.3">
      <c r="A15" s="24" t="s">
        <v>803</v>
      </c>
      <c r="B15" s="24" t="s">
        <v>804</v>
      </c>
      <c r="C15" s="24" t="s">
        <v>805</v>
      </c>
      <c r="D15" s="24" t="s">
        <v>62</v>
      </c>
      <c r="E15" s="24" t="s">
        <v>111</v>
      </c>
      <c r="F15" s="24" t="s">
        <v>86</v>
      </c>
      <c r="G15" s="24" t="s">
        <v>77</v>
      </c>
      <c r="H15" s="24" t="s">
        <v>69</v>
      </c>
      <c r="I15" s="35">
        <v>79178.86</v>
      </c>
      <c r="J15" s="36">
        <v>45797</v>
      </c>
      <c r="K15" s="24" t="s">
        <v>80</v>
      </c>
    </row>
    <row r="16" spans="1:11" x14ac:dyDescent="0.3">
      <c r="A16" s="24" t="s">
        <v>324</v>
      </c>
      <c r="B16" s="24" t="s">
        <v>325</v>
      </c>
      <c r="C16" s="24" t="s">
        <v>326</v>
      </c>
      <c r="D16" s="24" t="s">
        <v>60</v>
      </c>
      <c r="E16" s="24" t="s">
        <v>117</v>
      </c>
      <c r="F16" s="24" t="s">
        <v>86</v>
      </c>
      <c r="G16" s="24" t="s">
        <v>77</v>
      </c>
      <c r="H16" s="24" t="s">
        <v>68</v>
      </c>
      <c r="I16" s="35">
        <v>17312.52</v>
      </c>
      <c r="J16" s="36">
        <v>45798</v>
      </c>
      <c r="K16" s="24" t="s">
        <v>80</v>
      </c>
    </row>
    <row r="17" spans="1:11" x14ac:dyDescent="0.3">
      <c r="A17" s="24" t="s">
        <v>1394</v>
      </c>
      <c r="B17" s="24" t="s">
        <v>1395</v>
      </c>
      <c r="C17" s="24" t="s">
        <v>1396</v>
      </c>
      <c r="D17" s="24" t="s">
        <v>61</v>
      </c>
      <c r="E17" s="24" t="s">
        <v>116</v>
      </c>
      <c r="F17" s="24" t="s">
        <v>87</v>
      </c>
      <c r="G17" s="24" t="s">
        <v>76</v>
      </c>
      <c r="H17" s="24" t="s">
        <v>72</v>
      </c>
      <c r="I17" s="35">
        <v>15732.38</v>
      </c>
      <c r="J17" s="36">
        <v>45366</v>
      </c>
      <c r="K17" s="24" t="s">
        <v>80</v>
      </c>
    </row>
    <row r="18" spans="1:11" x14ac:dyDescent="0.3">
      <c r="A18" s="15" t="s">
        <v>1675</v>
      </c>
      <c r="B18" s="15">
        <f>COUNTA(A5:A17)</f>
        <v>13</v>
      </c>
      <c r="H18" s="15" t="s">
        <v>1676</v>
      </c>
      <c r="I18" s="37">
        <f>SUM(I5:I17)</f>
        <v>2343294.44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opLeftCell="AB1" zoomScaleNormal="100" workbookViewId="0"/>
  </sheetViews>
  <sheetFormatPr defaultColWidth="8.6640625" defaultRowHeight="14.4" x14ac:dyDescent="0.3"/>
  <cols>
    <col min="1" max="1" width="48" customWidth="1"/>
    <col min="2" max="3" width="10" customWidth="1"/>
    <col min="4" max="4" width="11" customWidth="1"/>
    <col min="5" max="5" width="80" customWidth="1"/>
  </cols>
  <sheetData>
    <row r="1" spans="1:5" ht="17.399999999999999" x14ac:dyDescent="0.3">
      <c r="A1" s="17" t="s">
        <v>1677</v>
      </c>
    </row>
    <row r="2" spans="1:5" x14ac:dyDescent="0.3">
      <c r="A2" s="16" t="s">
        <v>1678</v>
      </c>
    </row>
    <row r="4" spans="1:5" x14ac:dyDescent="0.3">
      <c r="A4" s="18" t="s">
        <v>1679</v>
      </c>
      <c r="B4" s="18" t="s">
        <v>1680</v>
      </c>
      <c r="C4" s="18" t="s">
        <v>1681</v>
      </c>
      <c r="D4" s="18" t="s">
        <v>31</v>
      </c>
      <c r="E4" s="18" t="s">
        <v>1682</v>
      </c>
    </row>
    <row r="5" spans="1:5" x14ac:dyDescent="0.3">
      <c r="A5" s="38" t="s">
        <v>1683</v>
      </c>
      <c r="B5" s="24">
        <f>COUNTA(Data!$A$2:$A$501)</f>
        <v>500</v>
      </c>
      <c r="C5" s="24"/>
      <c r="D5" s="39" t="s">
        <v>1684</v>
      </c>
      <c r="E5" s="38" t="s">
        <v>1685</v>
      </c>
    </row>
    <row r="6" spans="1:5" x14ac:dyDescent="0.3">
      <c r="A6" s="38" t="s">
        <v>1686</v>
      </c>
      <c r="B6" s="24">
        <f>SUMPRODUCT((COUNTIF(Data!$A$2:$A$501,Data!$A$2:$A$501)&gt;1)*1)</f>
        <v>0</v>
      </c>
      <c r="C6" s="24">
        <v>0</v>
      </c>
      <c r="D6" s="39" t="str">
        <f t="shared" ref="D6:D14" si="0">IF(B6=C6,"PASS","REVIEW")</f>
        <v>PASS</v>
      </c>
      <c r="E6" s="38" t="s">
        <v>1687</v>
      </c>
    </row>
    <row r="7" spans="1:5" x14ac:dyDescent="0.3">
      <c r="A7" s="38" t="s">
        <v>1688</v>
      </c>
      <c r="B7" s="24">
        <f>COUNTBLANK(Data!$A$2:$O$501)</f>
        <v>0</v>
      </c>
      <c r="C7" s="24">
        <v>0</v>
      </c>
      <c r="D7" s="39" t="str">
        <f t="shared" si="0"/>
        <v>PASS</v>
      </c>
      <c r="E7" s="38" t="s">
        <v>1689</v>
      </c>
    </row>
    <row r="8" spans="1:5" x14ac:dyDescent="0.3">
      <c r="A8" s="38" t="s">
        <v>1690</v>
      </c>
      <c r="B8" s="24">
        <f>COUNTIF(Data!$J$2:$J$501,"&lt;=0")</f>
        <v>0</v>
      </c>
      <c r="C8" s="24">
        <v>0</v>
      </c>
      <c r="D8" s="39" t="str">
        <f t="shared" si="0"/>
        <v>PASS</v>
      </c>
      <c r="E8" s="38" t="s">
        <v>1691</v>
      </c>
    </row>
    <row r="9" spans="1:5" ht="26.4" x14ac:dyDescent="0.3">
      <c r="A9" s="38" t="s">
        <v>1692</v>
      </c>
      <c r="B9" s="24">
        <f>ROWS(Data!$M$2:$M$501)-SUMPRODUCT(COUNTIF(Data!$M$2:$M$501,{"Completed","Failed","Reversed","Pending"}))</f>
        <v>0</v>
      </c>
      <c r="C9" s="24">
        <v>0</v>
      </c>
      <c r="D9" s="39" t="str">
        <f t="shared" si="0"/>
        <v>PASS</v>
      </c>
      <c r="E9" s="38" t="s">
        <v>1693</v>
      </c>
    </row>
    <row r="10" spans="1:5" x14ac:dyDescent="0.3">
      <c r="A10" s="38" t="s">
        <v>1694</v>
      </c>
      <c r="B10" s="24">
        <f>ROWS(Data!$O$2:$O$501)-SUMPRODUCT(COUNTIF(Data!$O$2:$O$501,{"Yes","No"}))</f>
        <v>0</v>
      </c>
      <c r="C10" s="24">
        <v>0</v>
      </c>
      <c r="D10" s="39" t="str">
        <f t="shared" si="0"/>
        <v>PASS</v>
      </c>
      <c r="E10" s="38" t="s">
        <v>1695</v>
      </c>
    </row>
    <row r="11" spans="1:5" x14ac:dyDescent="0.3">
      <c r="A11" s="38" t="s">
        <v>1696</v>
      </c>
      <c r="B11" s="24">
        <f>SUMPRODUCT(--NOT(EXACT(Data!$E$2:$E$501,PROPER(TRIM(Data!$E$2:$E$501)))))</f>
        <v>0</v>
      </c>
      <c r="C11" s="24">
        <v>0</v>
      </c>
      <c r="D11" s="39" t="str">
        <f t="shared" si="0"/>
        <v>PASS</v>
      </c>
      <c r="E11" s="38" t="s">
        <v>1697</v>
      </c>
    </row>
    <row r="12" spans="1:5" x14ac:dyDescent="0.3">
      <c r="A12" s="38" t="s">
        <v>1698</v>
      </c>
      <c r="B12" s="24">
        <f>SUMPRODUCT(--NOT(EXACT(Data!$F$2:$F$501,PROPER(TRIM(Data!$F$2:$F$501)))))</f>
        <v>0</v>
      </c>
      <c r="C12" s="24">
        <v>0</v>
      </c>
      <c r="D12" s="39" t="str">
        <f t="shared" si="0"/>
        <v>PASS</v>
      </c>
      <c r="E12" s="38" t="s">
        <v>1697</v>
      </c>
    </row>
    <row r="13" spans="1:5" x14ac:dyDescent="0.3">
      <c r="A13" s="38" t="s">
        <v>1699</v>
      </c>
      <c r="B13" s="24">
        <f>SUMPRODUCT(--NOT(EXACT(Data!$G$2:$G$501,PROPER(TRIM(Data!$G$2:$G$501)))))</f>
        <v>0</v>
      </c>
      <c r="C13" s="24">
        <v>0</v>
      </c>
      <c r="D13" s="39" t="str">
        <f t="shared" si="0"/>
        <v>PASS</v>
      </c>
      <c r="E13" s="38" t="s">
        <v>1700</v>
      </c>
    </row>
    <row r="14" spans="1:5" x14ac:dyDescent="0.3">
      <c r="A14" s="38" t="s">
        <v>1701</v>
      </c>
      <c r="B14" s="24">
        <f>SUMPRODUCT(--(Data!$G$2:$G$501&lt;&gt;Data!$F$2:$F$501&amp;" Branch"))</f>
        <v>0</v>
      </c>
      <c r="C14" s="24">
        <v>0</v>
      </c>
      <c r="D14" s="39" t="str">
        <f t="shared" si="0"/>
        <v>PASS</v>
      </c>
      <c r="E14" s="38" t="s">
        <v>1702</v>
      </c>
    </row>
    <row r="15" spans="1:5" x14ac:dyDescent="0.3">
      <c r="A15" s="38" t="s">
        <v>1703</v>
      </c>
      <c r="B15" s="24">
        <v>500</v>
      </c>
      <c r="C15" s="24"/>
      <c r="D15" s="39" t="s">
        <v>1704</v>
      </c>
      <c r="E15" s="38" t="s">
        <v>1705</v>
      </c>
    </row>
    <row r="16" spans="1:5" x14ac:dyDescent="0.3">
      <c r="A16" s="38" t="s">
        <v>1706</v>
      </c>
      <c r="B16" s="24">
        <v>500</v>
      </c>
      <c r="C16" s="24"/>
      <c r="D16" s="39" t="s">
        <v>1704</v>
      </c>
      <c r="E16" s="38" t="s">
        <v>1707</v>
      </c>
    </row>
    <row r="17" spans="1:5" x14ac:dyDescent="0.3">
      <c r="A17" s="38" t="s">
        <v>1708</v>
      </c>
      <c r="B17" s="24">
        <f>SUMPRODUCT(--((Data!$O$2:$O$501="Yes")&lt;&gt;(Data!$S$2:$S$501=1)))</f>
        <v>0</v>
      </c>
      <c r="C17" s="24">
        <v>0</v>
      </c>
      <c r="D17" s="39" t="str">
        <f>IF(B17=C17,"PASS","REVIEW")</f>
        <v>PASS</v>
      </c>
      <c r="E17" s="38" t="s">
        <v>1709</v>
      </c>
    </row>
    <row r="18" spans="1:5" x14ac:dyDescent="0.3">
      <c r="A18" s="38" t="s">
        <v>1710</v>
      </c>
      <c r="B18" s="24">
        <f>COUNTIF(Data!$T$2:$T$501,"Unknown")</f>
        <v>0</v>
      </c>
      <c r="C18" s="24">
        <v>0</v>
      </c>
      <c r="D18" s="39" t="str">
        <f>IF(B18=C18,"PASS","REVIEW")</f>
        <v>PASS</v>
      </c>
      <c r="E18" s="38" t="s">
        <v>1711</v>
      </c>
    </row>
    <row r="19" spans="1:5" ht="26.4" x14ac:dyDescent="0.3">
      <c r="A19" s="38" t="s">
        <v>1712</v>
      </c>
      <c r="B19" s="24">
        <f>COUNTIF(Data!$U$2:$U$501,"Frequent")</f>
        <v>0</v>
      </c>
      <c r="C19" s="24"/>
      <c r="D19" s="39" t="s">
        <v>1684</v>
      </c>
      <c r="E19" s="38" t="s">
        <v>1713</v>
      </c>
    </row>
    <row r="20" spans="1:5" x14ac:dyDescent="0.3">
      <c r="A20" s="38" t="s">
        <v>1714</v>
      </c>
      <c r="B20" s="24">
        <v>5</v>
      </c>
      <c r="C20" s="24"/>
      <c r="D20" s="39" t="s">
        <v>1715</v>
      </c>
      <c r="E20" s="38" t="s">
        <v>1716</v>
      </c>
    </row>
    <row r="22" spans="1:5" x14ac:dyDescent="0.3">
      <c r="A22" s="16" t="s">
        <v>1717</v>
      </c>
    </row>
    <row r="23" spans="1:5" x14ac:dyDescent="0.3">
      <c r="A23" s="16" t="s">
        <v>1718</v>
      </c>
    </row>
  </sheetData>
  <conditionalFormatting sqref="D5:D20">
    <cfRule type="cellIs" dxfId="1" priority="2" operator="equal">
      <formula>"PASS"</formula>
    </cfRule>
    <cfRule type="cellIs" dxfId="0" priority="3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0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8" customWidth="1"/>
    <col min="3" max="3" width="16" customWidth="1"/>
    <col min="4" max="4" width="80" customWidth="1"/>
  </cols>
  <sheetData>
    <row r="1" spans="1:4" ht="17.399999999999999" x14ac:dyDescent="0.3">
      <c r="A1" s="17" t="s">
        <v>1719</v>
      </c>
    </row>
    <row r="3" spans="1:4" x14ac:dyDescent="0.3">
      <c r="A3" s="18" t="s">
        <v>1720</v>
      </c>
      <c r="B3" s="18" t="s">
        <v>1721</v>
      </c>
      <c r="C3" s="18" t="s">
        <v>1722</v>
      </c>
      <c r="D3" s="18" t="s">
        <v>1723</v>
      </c>
    </row>
    <row r="4" spans="1:4" x14ac:dyDescent="0.3">
      <c r="A4" s="24" t="s">
        <v>133</v>
      </c>
      <c r="B4" s="24" t="s">
        <v>1724</v>
      </c>
      <c r="C4" s="24" t="s">
        <v>1725</v>
      </c>
      <c r="D4" s="24" t="s">
        <v>1726</v>
      </c>
    </row>
    <row r="5" spans="1:4" x14ac:dyDescent="0.3">
      <c r="A5" s="24" t="s">
        <v>134</v>
      </c>
      <c r="B5" s="24" t="s">
        <v>1727</v>
      </c>
      <c r="C5" s="24" t="s">
        <v>1728</v>
      </c>
      <c r="D5" s="24" t="s">
        <v>1729</v>
      </c>
    </row>
    <row r="6" spans="1:4" x14ac:dyDescent="0.3">
      <c r="A6" s="24" t="s">
        <v>135</v>
      </c>
      <c r="B6" s="24" t="s">
        <v>1730</v>
      </c>
      <c r="C6" s="24" t="s">
        <v>1728</v>
      </c>
      <c r="D6" s="24" t="s">
        <v>1731</v>
      </c>
    </row>
    <row r="7" spans="1:4" x14ac:dyDescent="0.3">
      <c r="A7" s="24" t="s">
        <v>136</v>
      </c>
      <c r="B7" s="24" t="s">
        <v>1732</v>
      </c>
      <c r="C7" s="24" t="s">
        <v>1728</v>
      </c>
      <c r="D7" s="24" t="s">
        <v>1733</v>
      </c>
    </row>
    <row r="8" spans="1:4" x14ac:dyDescent="0.3">
      <c r="A8" s="24" t="s">
        <v>54</v>
      </c>
      <c r="B8" s="24" t="s">
        <v>1734</v>
      </c>
      <c r="C8" s="24" t="s">
        <v>1728</v>
      </c>
      <c r="D8" s="24" t="s">
        <v>1735</v>
      </c>
    </row>
    <row r="9" spans="1:4" x14ac:dyDescent="0.3">
      <c r="A9" s="24" t="s">
        <v>137</v>
      </c>
      <c r="B9" s="24" t="s">
        <v>1734</v>
      </c>
      <c r="C9" s="24" t="s">
        <v>1728</v>
      </c>
      <c r="D9" s="24" t="s">
        <v>1736</v>
      </c>
    </row>
    <row r="10" spans="1:4" x14ac:dyDescent="0.3">
      <c r="A10" s="24" t="s">
        <v>138</v>
      </c>
      <c r="B10" s="24" t="s">
        <v>1734</v>
      </c>
      <c r="C10" s="24" t="s">
        <v>1728</v>
      </c>
      <c r="D10" s="24" t="s">
        <v>1737</v>
      </c>
    </row>
    <row r="11" spans="1:4" x14ac:dyDescent="0.3">
      <c r="A11" s="24" t="s">
        <v>85</v>
      </c>
      <c r="B11" s="24" t="s">
        <v>1734</v>
      </c>
      <c r="C11" s="24" t="s">
        <v>1728</v>
      </c>
      <c r="D11" s="24" t="s">
        <v>1738</v>
      </c>
    </row>
    <row r="12" spans="1:4" x14ac:dyDescent="0.3">
      <c r="A12" s="24" t="s">
        <v>74</v>
      </c>
      <c r="B12" s="24" t="s">
        <v>1734</v>
      </c>
      <c r="C12" s="24" t="s">
        <v>1725</v>
      </c>
      <c r="D12" s="24" t="s">
        <v>1739</v>
      </c>
    </row>
    <row r="13" spans="1:4" x14ac:dyDescent="0.3">
      <c r="A13" s="24" t="s">
        <v>139</v>
      </c>
      <c r="B13" s="24" t="s">
        <v>1740</v>
      </c>
      <c r="C13" s="24" t="s">
        <v>1725</v>
      </c>
      <c r="D13" s="24" t="s">
        <v>1741</v>
      </c>
    </row>
    <row r="14" spans="1:4" x14ac:dyDescent="0.3">
      <c r="A14" s="24" t="s">
        <v>67</v>
      </c>
      <c r="B14" s="24" t="s">
        <v>1734</v>
      </c>
      <c r="C14" s="24" t="s">
        <v>1725</v>
      </c>
      <c r="D14" s="24" t="s">
        <v>1742</v>
      </c>
    </row>
    <row r="15" spans="1:4" x14ac:dyDescent="0.3">
      <c r="A15" s="24" t="s">
        <v>140</v>
      </c>
      <c r="B15" s="24" t="s">
        <v>1743</v>
      </c>
      <c r="C15" s="24" t="s">
        <v>1725</v>
      </c>
      <c r="D15" s="24" t="s">
        <v>1744</v>
      </c>
    </row>
    <row r="16" spans="1:4" x14ac:dyDescent="0.3">
      <c r="A16" s="24" t="s">
        <v>141</v>
      </c>
      <c r="B16" s="24" t="s">
        <v>1734</v>
      </c>
      <c r="C16" s="24" t="s">
        <v>1725</v>
      </c>
      <c r="D16" s="24" t="s">
        <v>1745</v>
      </c>
    </row>
    <row r="17" spans="1:4" x14ac:dyDescent="0.3">
      <c r="A17" s="24" t="s">
        <v>142</v>
      </c>
      <c r="B17" s="24" t="s">
        <v>1740</v>
      </c>
      <c r="C17" s="24" t="s">
        <v>1725</v>
      </c>
      <c r="D17" s="24" t="s">
        <v>1746</v>
      </c>
    </row>
    <row r="18" spans="1:4" x14ac:dyDescent="0.3">
      <c r="A18" s="24" t="s">
        <v>143</v>
      </c>
      <c r="B18" s="24" t="s">
        <v>1747</v>
      </c>
      <c r="C18" s="24" t="s">
        <v>1725</v>
      </c>
      <c r="D18" s="24" t="s">
        <v>1748</v>
      </c>
    </row>
    <row r="19" spans="1:4" x14ac:dyDescent="0.3">
      <c r="A19" s="24" t="s">
        <v>144</v>
      </c>
      <c r="B19" s="24" t="s">
        <v>1730</v>
      </c>
      <c r="C19" s="24" t="s">
        <v>1749</v>
      </c>
      <c r="D19" s="24" t="s">
        <v>1750</v>
      </c>
    </row>
    <row r="20" spans="1:4" x14ac:dyDescent="0.3">
      <c r="A20" s="24" t="s">
        <v>3</v>
      </c>
      <c r="B20" s="24" t="s">
        <v>1727</v>
      </c>
      <c r="C20" s="24" t="s">
        <v>1749</v>
      </c>
      <c r="D20" s="24" t="s">
        <v>1751</v>
      </c>
    </row>
    <row r="21" spans="1:4" x14ac:dyDescent="0.3">
      <c r="A21" s="24" t="s">
        <v>100</v>
      </c>
      <c r="B21" s="24" t="s">
        <v>1743</v>
      </c>
      <c r="C21" s="24" t="s">
        <v>1749</v>
      </c>
      <c r="D21" s="24" t="s">
        <v>1752</v>
      </c>
    </row>
    <row r="22" spans="1:4" x14ac:dyDescent="0.3">
      <c r="A22" s="24" t="s">
        <v>145</v>
      </c>
      <c r="B22" s="24" t="s">
        <v>1753</v>
      </c>
      <c r="C22" s="24" t="s">
        <v>1749</v>
      </c>
      <c r="D22" s="24" t="s">
        <v>1754</v>
      </c>
    </row>
    <row r="23" spans="1:4" x14ac:dyDescent="0.3">
      <c r="A23" s="24" t="s">
        <v>91</v>
      </c>
      <c r="B23" s="24" t="s">
        <v>1734</v>
      </c>
      <c r="C23" s="24" t="s">
        <v>1749</v>
      </c>
      <c r="D23" s="24" t="s">
        <v>1755</v>
      </c>
    </row>
    <row r="24" spans="1:4" x14ac:dyDescent="0.3">
      <c r="A24" s="24" t="s">
        <v>96</v>
      </c>
      <c r="B24" s="24" t="s">
        <v>1734</v>
      </c>
      <c r="C24" s="24" t="s">
        <v>1749</v>
      </c>
      <c r="D24" s="24" t="s">
        <v>1756</v>
      </c>
    </row>
    <row r="26" spans="1:4" x14ac:dyDescent="0.3">
      <c r="A26" s="15" t="s">
        <v>1757</v>
      </c>
    </row>
    <row r="27" spans="1:4" x14ac:dyDescent="0.3">
      <c r="A27" s="21" t="s">
        <v>1758</v>
      </c>
    </row>
    <row r="28" spans="1:4" x14ac:dyDescent="0.3">
      <c r="A28" s="21" t="s">
        <v>1759</v>
      </c>
    </row>
    <row r="29" spans="1:4" x14ac:dyDescent="0.3">
      <c r="A29" s="21" t="s">
        <v>1760</v>
      </c>
    </row>
    <row r="30" spans="1:4" x14ac:dyDescent="0.3">
      <c r="A30" s="21" t="s">
        <v>1761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Insights</vt:lpstr>
      <vt:lpstr>Analysis</vt:lpstr>
      <vt:lpstr>Data</vt:lpstr>
      <vt:lpstr>Fraud Cases</vt:lpstr>
      <vt:lpstr>Cleaning Log</vt:lpstr>
      <vt:lpstr>Data Understanding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Kiranbabu K</cp:lastModifiedBy>
  <cp:revision>1</cp:revision>
  <dcterms:created xsi:type="dcterms:W3CDTF">2026-10-14T07:04:44Z</dcterms:created>
  <dcterms:modified xsi:type="dcterms:W3CDTF">2026-10-14T07:08:23Z</dcterms:modified>
  <dc:language>en-US</dc:language>
</cp:coreProperties>
</file>